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7" autoFilterDateGrouping="1"/>
  </bookViews>
  <sheets>
    <sheet xmlns:r="http://schemas.openxmlformats.org/officeDocument/2006/relationships" name="QP1" sheetId="1" state="visible" r:id="rId1"/>
    <sheet xmlns:r="http://schemas.openxmlformats.org/officeDocument/2006/relationships" name="QP2" sheetId="2" state="visible" r:id="rId2"/>
    <sheet xmlns:r="http://schemas.openxmlformats.org/officeDocument/2006/relationships" name="QP3" sheetId="3" state="visible" r:id="rId3"/>
    <sheet xmlns:r="http://schemas.openxmlformats.org/officeDocument/2006/relationships" name="QP4" sheetId="4" state="visible" r:id="rId4"/>
    <sheet xmlns:r="http://schemas.openxmlformats.org/officeDocument/2006/relationships" name="QP5" sheetId="5" state="visible" r:id="rId5"/>
    <sheet xmlns:r="http://schemas.openxmlformats.org/officeDocument/2006/relationships" name="QP6" sheetId="6" state="visible" r:id="rId6"/>
    <sheet xmlns:r="http://schemas.openxmlformats.org/officeDocument/2006/relationships" name="QP7" sheetId="7" state="visible" r:id="rId7"/>
    <sheet xmlns:r="http://schemas.openxmlformats.org/officeDocument/2006/relationships" name="QGM" sheetId="8" state="visible" r:id="rId8"/>
    <sheet xmlns:r="http://schemas.openxmlformats.org/officeDocument/2006/relationships" name="QGBT" sheetId="9" state="visible" r:id="rId9"/>
    <sheet xmlns:r="http://schemas.openxmlformats.org/officeDocument/2006/relationships" name="QPT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1" fillId="0" borderId="0"/>
    <xf numFmtId="0" fontId="2" fillId="2" borderId="0"/>
    <xf numFmtId="0" fontId="1" fillId="3" borderId="0"/>
    <xf numFmtId="0" fontId="1" fillId="4" borderId="0"/>
    <xf numFmtId="0" fontId="1" fillId="5" borderId="0"/>
  </cellStyleXfs>
  <cellXfs count="89">
    <xf numFmtId="0" fontId="0" fillId="0" borderId="0" pivotButton="0" quotePrefix="0" xfId="0"/>
    <xf numFmtId="0" fontId="2" fillId="2" borderId="0" pivotButton="0" quotePrefix="0" xfId="1"/>
    <xf numFmtId="0" fontId="1" fillId="5" borderId="5" applyAlignment="1" pivotButton="0" quotePrefix="0" xfId="4">
      <alignment horizontal="center" vertical="center" textRotation="90" wrapText="1"/>
    </xf>
    <xf numFmtId="0" fontId="1" fillId="5" borderId="5" applyAlignment="1" pivotButton="0" quotePrefix="0" xfId="4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2" borderId="7" applyAlignment="1" pivotButton="0" quotePrefix="0" xfId="1">
      <alignment horizontal="center"/>
    </xf>
    <xf numFmtId="164" fontId="0" fillId="0" borderId="2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4" fontId="0" fillId="0" borderId="0" pivotButton="0" quotePrefix="0" xfId="0"/>
    <xf numFmtId="0" fontId="0" fillId="0" borderId="0" pivotButton="0" quotePrefix="0" xfId="0"/>
    <xf numFmtId="0" fontId="2" fillId="2" borderId="12" applyAlignment="1" pivotButton="0" quotePrefix="0" xfId="1">
      <alignment horizontal="center"/>
    </xf>
    <xf numFmtId="0" fontId="2" fillId="2" borderId="12" pivotButton="0" quotePrefix="0" xfId="1"/>
    <xf numFmtId="0" fontId="2" fillId="2" borderId="5" pivotButton="0" quotePrefix="0" xfId="1"/>
    <xf numFmtId="0" fontId="2" fillId="2" borderId="4" pivotButton="0" quotePrefix="0" xfId="1"/>
    <xf numFmtId="2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3" borderId="7" applyAlignment="1" pivotButton="0" quotePrefix="0" xfId="2">
      <alignment horizontal="center" vertical="center"/>
    </xf>
    <xf numFmtId="0" fontId="1" fillId="3" borderId="8" applyAlignment="1" pivotButton="0" quotePrefix="0" xfId="2">
      <alignment horizontal="center" vertical="center"/>
    </xf>
    <xf numFmtId="0" fontId="1" fillId="3" borderId="5" applyAlignment="1" pivotButton="0" quotePrefix="0" xfId="2">
      <alignment horizontal="center" vertical="center"/>
    </xf>
    <xf numFmtId="0" fontId="1" fillId="4" borderId="9" applyAlignment="1" pivotButton="0" quotePrefix="0" xfId="3">
      <alignment horizontal="center" vertical="center" wrapText="1"/>
    </xf>
    <xf numFmtId="0" fontId="1" fillId="4" borderId="10" applyAlignment="1" pivotButton="0" quotePrefix="0" xfId="3">
      <alignment horizontal="center" vertical="center" wrapText="1"/>
    </xf>
    <xf numFmtId="0" fontId="1" fillId="4" borderId="12" applyAlignment="1" pivotButton="0" quotePrefix="0" xfId="3">
      <alignment horizontal="center" vertical="center" wrapText="1"/>
    </xf>
    <xf numFmtId="0" fontId="1" fillId="4" borderId="13" applyAlignment="1" pivotButton="0" quotePrefix="0" xfId="3">
      <alignment horizontal="center" vertical="center" wrapText="1"/>
    </xf>
    <xf numFmtId="0" fontId="1" fillId="4" borderId="6" applyAlignment="1" pivotButton="0" quotePrefix="0" xfId="3">
      <alignment horizontal="center" vertical="center" wrapText="1"/>
    </xf>
    <xf numFmtId="0" fontId="1" fillId="4" borderId="11" applyAlignment="1" pivotButton="0" quotePrefix="0" xfId="3">
      <alignment horizontal="center" vertical="center" wrapText="1"/>
    </xf>
    <xf numFmtId="0" fontId="1" fillId="4" borderId="2" applyAlignment="1" pivotButton="0" quotePrefix="0" xfId="3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1" fillId="3" borderId="10" applyAlignment="1" pivotButton="0" quotePrefix="0" xfId="2">
      <alignment horizontal="left" vertical="center"/>
    </xf>
    <xf numFmtId="0" fontId="1" fillId="3" borderId="13" applyAlignment="1" pivotButton="0" quotePrefix="0" xfId="2">
      <alignment horizontal="left" vertical="center"/>
    </xf>
    <xf numFmtId="164" fontId="1" fillId="3" borderId="9" applyAlignment="1" pivotButton="0" quotePrefix="0" xfId="2">
      <alignment horizontal="right" vertical="center"/>
    </xf>
    <xf numFmtId="164" fontId="1" fillId="3" borderId="12" applyAlignment="1" pivotButton="0" quotePrefix="0" xfId="2">
      <alignment horizontal="right" vertical="center"/>
    </xf>
    <xf numFmtId="0" fontId="1" fillId="3" borderId="12" applyAlignment="1" pivotButton="0" quotePrefix="0" xfId="2">
      <alignment horizontal="right" vertical="center"/>
    </xf>
    <xf numFmtId="0" fontId="1" fillId="3" borderId="6" applyAlignment="1" pivotButton="0" quotePrefix="0" xfId="2">
      <alignment horizontal="right" vertical="center"/>
    </xf>
    <xf numFmtId="0" fontId="1" fillId="3" borderId="11" applyAlignment="1" pivotButton="0" quotePrefix="0" xfId="2">
      <alignment horizontal="left" vertical="center"/>
    </xf>
    <xf numFmtId="0" fontId="1" fillId="4" borderId="1" applyAlignment="1" pivotButton="0" quotePrefix="0" xfId="3">
      <alignment horizontal="center" vertical="center"/>
    </xf>
    <xf numFmtId="0" fontId="1" fillId="4" borderId="1" applyAlignment="1" pivotButton="0" quotePrefix="0" xfId="3">
      <alignment horizontal="center" vertical="center" wrapText="1"/>
    </xf>
    <xf numFmtId="0" fontId="1" fillId="3" borderId="1" applyAlignment="1" pivotButton="0" quotePrefix="0" xfId="2">
      <alignment horizontal="center" vertical="center"/>
    </xf>
    <xf numFmtId="0" fontId="1" fillId="5" borderId="1" applyAlignment="1" pivotButton="0" quotePrefix="0" xfId="4">
      <alignment horizontal="center"/>
    </xf>
    <xf numFmtId="164" fontId="1" fillId="3" borderId="6" applyAlignment="1" pivotButton="0" quotePrefix="0" xfId="2">
      <alignment horizontal="right" vertical="center"/>
    </xf>
    <xf numFmtId="0" fontId="1" fillId="5" borderId="1" applyAlignment="1" pivotButton="0" quotePrefix="0" xfId="4">
      <alignment horizontal="center" vertical="center" wrapText="1"/>
    </xf>
    <xf numFmtId="0" fontId="3" fillId="0" borderId="0" applyAlignment="1" pivotButton="0" quotePrefix="0" xfId="0">
      <alignment horizontal="left" vertical="center" indent="20"/>
    </xf>
    <xf numFmtId="0" fontId="2" fillId="2" borderId="1" applyAlignment="1" pivotButton="0" quotePrefix="0" xfId="1">
      <alignment horizontal="center" vertical="center" wrapText="1"/>
    </xf>
    <xf numFmtId="0" fontId="1" fillId="3" borderId="2" applyAlignment="1" pivotButton="0" quotePrefix="0" xfId="2">
      <alignment horizontal="center" vertical="center"/>
    </xf>
    <xf numFmtId="0" fontId="1" fillId="5" borderId="9" applyAlignment="1" pivotButton="0" quotePrefix="0" xfId="4">
      <alignment horizontal="center" vertical="center" wrapText="1"/>
    </xf>
    <xf numFmtId="0" fontId="1" fillId="5" borderId="14" applyAlignment="1" pivotButton="0" quotePrefix="0" xfId="4">
      <alignment horizontal="center" vertical="center" wrapText="1"/>
    </xf>
    <xf numFmtId="0" fontId="1" fillId="5" borderId="10" applyAlignment="1" pivotButton="0" quotePrefix="0" xfId="4">
      <alignment horizontal="center" vertical="center" wrapText="1"/>
    </xf>
    <xf numFmtId="0" fontId="1" fillId="5" borderId="6" applyAlignment="1" pivotButton="0" quotePrefix="0" xfId="4">
      <alignment horizontal="center" vertical="center" wrapText="1"/>
    </xf>
    <xf numFmtId="0" fontId="1" fillId="5" borderId="15" applyAlignment="1" pivotButton="0" quotePrefix="0" xfId="4">
      <alignment horizontal="center" vertical="center" wrapText="1"/>
    </xf>
    <xf numFmtId="0" fontId="1" fillId="5" borderId="11" applyAlignment="1" pivotButton="0" quotePrefix="0" xfId="4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2" borderId="9" applyAlignment="1" pivotButton="0" quotePrefix="0" xfId="1">
      <alignment horizontal="center" vertical="center" wrapText="1"/>
    </xf>
    <xf numFmtId="0" fontId="2" fillId="2" borderId="1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2" fillId="2" borderId="11" applyAlignment="1" pivotButton="0" quotePrefix="0" xfId="1">
      <alignment horizontal="center" vertical="center" wrapText="1"/>
    </xf>
    <xf numFmtId="0" fontId="1" fillId="4" borderId="7" applyAlignment="1" pivotButton="0" quotePrefix="0" xfId="3">
      <alignment horizontal="center" vertical="center" wrapText="1"/>
    </xf>
    <xf numFmtId="0" fontId="1" fillId="4" borderId="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4" borderId="7" applyAlignment="1" pivotButton="0" quotePrefix="0" xfId="3">
      <alignment horizontal="center" vertical="center"/>
    </xf>
    <xf numFmtId="0" fontId="1" fillId="4" borderId="5" applyAlignment="1" pivotButton="0" quotePrefix="0" xfId="3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" fillId="5" borderId="2" applyAlignment="1" pivotButton="0" quotePrefix="0" xfId="4">
      <alignment horizontal="center"/>
    </xf>
    <xf numFmtId="0" fontId="1" fillId="5" borderId="3" applyAlignment="1" pivotButton="0" quotePrefix="0" xfId="4">
      <alignment horizontal="center"/>
    </xf>
    <xf numFmtId="0" fontId="1" fillId="5" borderId="4" applyAlignment="1" pivotButton="0" quotePrefix="0" xfId="4">
      <alignment horizontal="center"/>
    </xf>
    <xf numFmtId="0" fontId="0" fillId="0" borderId="14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3" borderId="2" applyAlignment="1" pivotButton="0" quotePrefix="0" xfId="2">
      <alignment horizontal="right" vertical="center"/>
    </xf>
    <xf numFmtId="0" fontId="1" fillId="3" borderId="4" applyAlignment="1" pivotButton="0" quotePrefix="0" xfId="2">
      <alignment horizontal="left" vertical="center"/>
    </xf>
    <xf numFmtId="0" fontId="0" fillId="0" borderId="5" pivotButton="0" quotePrefix="0" xfId="0"/>
  </cellXfs>
  <cellStyles count="5">
    <cellStyle name="Normal" xfId="0" builtinId="0"/>
    <cellStyle name="Cor3" xfId="1" builtinId="37"/>
    <cellStyle name="20% - Cor3" xfId="2" builtinId="38"/>
    <cellStyle name="40% - Cor3" xfId="3" builtinId="39"/>
    <cellStyle name="60% - Cor3" xfId="4" builtinId="4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6"/>
  <sheetViews>
    <sheetView topLeftCell="A2" zoomScale="70" zoomScaleNormal="70" workbookViewId="0">
      <selection activeCell="E19" sqref="E19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1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Luminaire LEDVANCE ref.4058075708181</t>
        </is>
      </c>
      <c r="B7" s="79" t="n"/>
      <c r="C7" s="9" t="n"/>
      <c r="D7" s="21" t="n">
        <v>40</v>
      </c>
      <c r="E7" s="9" t="n"/>
      <c r="F7" s="21" t="n">
        <v>0.95</v>
      </c>
      <c r="G7" s="9" t="n"/>
      <c r="H7" s="5" t="n">
        <v>1</v>
      </c>
      <c r="I7" s="22" t="n">
        <v>1</v>
      </c>
      <c r="J7" s="22" t="n">
        <v>1</v>
      </c>
      <c r="K7" s="11">
        <f>(133/0.9)/1000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SUM(M7:M15)</f>
        <v/>
      </c>
      <c r="Z7" s="34" t="inlineStr">
        <is>
          <t>kW</t>
        </is>
      </c>
    </row>
    <row r="8">
      <c r="A8" s="33" t="inlineStr">
        <is>
          <t>Tableau de Prises (1x16A 2P+T et 1x32A 3P+N+T)</t>
        </is>
      </c>
      <c r="B8" s="79" t="n"/>
      <c r="C8" s="9" t="n"/>
      <c r="D8" s="21" t="n">
        <v>3</v>
      </c>
      <c r="E8" s="9" t="n"/>
      <c r="F8" s="21" t="n">
        <v>0.9</v>
      </c>
      <c r="G8" s="9" t="n"/>
      <c r="H8" s="22">
        <f>0.1+(0.9/(D8*2))</f>
        <v/>
      </c>
      <c r="I8" s="83" t="n"/>
      <c r="J8" s="22" t="n">
        <v>1</v>
      </c>
      <c r="K8" s="11">
        <f>((230*16)/1000)+(((230*SQRT(3))*32*SQRT(3))/1000)</f>
        <v/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>
        <f>K8/F8</f>
        <v/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Machine d'Injection 1</t>
        </is>
      </c>
      <c r="B9" s="79" t="n"/>
      <c r="C9" s="9" t="n"/>
      <c r="D9" s="21" t="n">
        <v>1</v>
      </c>
      <c r="E9" s="9" t="n"/>
      <c r="F9" s="21" t="n">
        <v>0.85</v>
      </c>
      <c r="G9" s="9" t="n"/>
      <c r="H9" s="22" t="n">
        <v>1</v>
      </c>
      <c r="I9" s="83" t="n"/>
      <c r="J9" s="22" t="n">
        <v>0.8</v>
      </c>
      <c r="K9" s="11">
        <f>S9*F9</f>
        <v/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 t="n">
        <v>25</v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SUM(Q7:Q15)</f>
        <v/>
      </c>
      <c r="Z9" s="34" t="inlineStr">
        <is>
          <t>kVar</t>
        </is>
      </c>
    </row>
    <row r="10">
      <c r="A10" s="33" t="inlineStr">
        <is>
          <t>Machine d'Injection 2</t>
        </is>
      </c>
      <c r="B10" s="79" t="n"/>
      <c r="C10" s="9" t="n"/>
      <c r="D10" s="21" t="n">
        <v>1</v>
      </c>
      <c r="E10" s="9" t="n"/>
      <c r="F10" s="21" t="n">
        <v>0.85</v>
      </c>
      <c r="G10" s="9" t="n"/>
      <c r="H10" s="22" t="n">
        <v>1</v>
      </c>
      <c r="I10" s="83" t="n"/>
      <c r="J10" s="22" t="n">
        <v>0.8</v>
      </c>
      <c r="K10" s="11">
        <f>S10*F10</f>
        <v/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 t="n">
        <v>45</v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Machine d'Injection 3</t>
        </is>
      </c>
      <c r="B11" s="79" t="n"/>
      <c r="C11" s="9" t="n"/>
      <c r="D11" s="21" t="n">
        <v>1</v>
      </c>
      <c r="E11" s="9" t="n"/>
      <c r="F11" s="21" t="n">
        <v>0.85</v>
      </c>
      <c r="G11" s="9" t="n"/>
      <c r="H11" s="22" t="n">
        <v>1</v>
      </c>
      <c r="I11" s="83" t="n"/>
      <c r="J11" s="22" t="n">
        <v>0.8</v>
      </c>
      <c r="K11" s="11">
        <f>S11*F11</f>
        <v/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 t="n">
        <v>45</v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SUM(U7:U15)</f>
        <v/>
      </c>
      <c r="Z11" s="87" t="inlineStr">
        <is>
          <t>kVA</t>
        </is>
      </c>
    </row>
    <row r="12">
      <c r="A12" s="33" t="inlineStr">
        <is>
          <t>Machine d'Injection 4</t>
        </is>
      </c>
      <c r="B12" s="79" t="n"/>
      <c r="C12" s="9" t="n"/>
      <c r="D12" s="21" t="n">
        <v>1</v>
      </c>
      <c r="E12" s="9" t="n"/>
      <c r="F12" s="21" t="n">
        <v>0.85</v>
      </c>
      <c r="G12" s="9" t="n"/>
      <c r="H12" s="22" t="n">
        <v>1</v>
      </c>
      <c r="I12" s="83" t="n"/>
      <c r="J12" s="22" t="n">
        <v>0.8</v>
      </c>
      <c r="K12" s="11">
        <f>S12*F12</f>
        <v/>
      </c>
      <c r="L12" s="67" t="inlineStr">
        <is>
          <t>kW</t>
        </is>
      </c>
      <c r="M12" s="11">
        <f>K12*D12*H12*I7*J12</f>
        <v/>
      </c>
      <c r="N12" s="67" t="inlineStr">
        <is>
          <t>kW</t>
        </is>
      </c>
      <c r="O12" s="8">
        <f>K12*TAN(ACOS(F12))</f>
        <v/>
      </c>
      <c r="P12" s="9" t="inlineStr">
        <is>
          <t>kVar</t>
        </is>
      </c>
      <c r="Q12" s="8">
        <f>(K12*TAN(ACOS(F12)))*D12*H12*I7*J12</f>
        <v/>
      </c>
      <c r="R12" s="9" t="inlineStr">
        <is>
          <t>kVar</t>
        </is>
      </c>
      <c r="S12" s="8" t="n">
        <v>50</v>
      </c>
      <c r="T12" s="9" t="inlineStr">
        <is>
          <t>kVA</t>
        </is>
      </c>
      <c r="U12" s="8">
        <f>S12*D12*H12*I7*J12</f>
        <v/>
      </c>
      <c r="V12" s="9" t="inlineStr">
        <is>
          <t>kVA</t>
        </is>
      </c>
      <c r="W12" s="15" t="n"/>
      <c r="X12" s="80" t="n"/>
      <c r="Y12" s="80" t="n"/>
      <c r="Z12" s="82" t="n"/>
    </row>
    <row r="13">
      <c r="A13" s="33" t="inlineStr">
        <is>
          <t>Machine d'Injection 5</t>
        </is>
      </c>
      <c r="B13" s="79" t="n"/>
      <c r="C13" s="9" t="n"/>
      <c r="D13" s="21" t="n">
        <v>1</v>
      </c>
      <c r="E13" s="9" t="n"/>
      <c r="F13" s="21" t="n">
        <v>0.85</v>
      </c>
      <c r="G13" s="9" t="n"/>
      <c r="H13" s="22" t="n">
        <v>1</v>
      </c>
      <c r="I13" s="83" t="n"/>
      <c r="J13" s="22" t="n">
        <v>0.8</v>
      </c>
      <c r="K13" s="11">
        <f>S13*F13</f>
        <v/>
      </c>
      <c r="L13" s="67" t="inlineStr">
        <is>
          <t>kW</t>
        </is>
      </c>
      <c r="M13" s="11">
        <f>K13*D13*H13*I7*J13</f>
        <v/>
      </c>
      <c r="N13" s="67" t="inlineStr">
        <is>
          <t>kW</t>
        </is>
      </c>
      <c r="O13" s="8">
        <f>K13*TAN(ACOS(F13))</f>
        <v/>
      </c>
      <c r="P13" s="9" t="inlineStr">
        <is>
          <t>kVar</t>
        </is>
      </c>
      <c r="Q13" s="8">
        <f>(K13*TAN(ACOS(F13)))*D13*H13*I7*J13</f>
        <v/>
      </c>
      <c r="R13" s="9" t="inlineStr">
        <is>
          <t>kVar</t>
        </is>
      </c>
      <c r="S13" s="8" t="n">
        <v>85</v>
      </c>
      <c r="T13" s="9" t="inlineStr">
        <is>
          <t>kVA</t>
        </is>
      </c>
      <c r="U13" s="8">
        <f>S13*D13*H13*I7*J13</f>
        <v/>
      </c>
      <c r="V13" s="9" t="inlineStr">
        <is>
          <t>kVA</t>
        </is>
      </c>
      <c r="W13" s="15" t="n"/>
      <c r="X13" s="1" t="n"/>
      <c r="Y13" s="1" t="n"/>
      <c r="Z13" s="17" t="n"/>
    </row>
    <row r="14">
      <c r="A14" s="33" t="inlineStr">
        <is>
          <t>Machine d'Injection 6</t>
        </is>
      </c>
      <c r="B14" s="79" t="n"/>
      <c r="C14" s="9" t="n"/>
      <c r="D14" s="21" t="n">
        <v>1</v>
      </c>
      <c r="E14" s="9" t="n"/>
      <c r="F14" s="21" t="n">
        <v>0.85</v>
      </c>
      <c r="G14" s="9" t="n"/>
      <c r="H14" s="22" t="n">
        <v>1</v>
      </c>
      <c r="I14" s="83" t="n"/>
      <c r="J14" s="22" t="n">
        <v>0.8</v>
      </c>
      <c r="K14" s="11">
        <f>S14*F14</f>
        <v/>
      </c>
      <c r="L14" s="67" t="inlineStr">
        <is>
          <t>kW</t>
        </is>
      </c>
      <c r="M14" s="11">
        <f>K14*D14*H14*I7*J14</f>
        <v/>
      </c>
      <c r="N14" s="67" t="inlineStr">
        <is>
          <t>kW</t>
        </is>
      </c>
      <c r="O14" s="8">
        <f>K14*TAN(ACOS(F14))</f>
        <v/>
      </c>
      <c r="P14" s="9" t="inlineStr">
        <is>
          <t>kVar</t>
        </is>
      </c>
      <c r="Q14" s="8">
        <f>(K14*TAN(ACOS(F14)))*D14*H14*I7*J14</f>
        <v/>
      </c>
      <c r="R14" s="9" t="inlineStr">
        <is>
          <t>kVar</t>
        </is>
      </c>
      <c r="S14" s="8" t="n">
        <v>85</v>
      </c>
      <c r="T14" s="9" t="inlineStr">
        <is>
          <t>kVA</t>
        </is>
      </c>
      <c r="U14" s="8">
        <f>S14*D14*H14*I7*J14</f>
        <v/>
      </c>
      <c r="V14" s="9" t="inlineStr">
        <is>
          <t>kVA</t>
        </is>
      </c>
      <c r="W14" s="15" t="n"/>
      <c r="X14" s="44" t="inlineStr">
        <is>
          <t>Puissance du QP1</t>
        </is>
      </c>
      <c r="Y14" s="79" t="n"/>
      <c r="Z14" s="9" t="n"/>
    </row>
    <row r="15">
      <c r="A15" s="33" t="inlineStr">
        <is>
          <t>Machine d'Injection 10</t>
        </is>
      </c>
      <c r="B15" s="79" t="n"/>
      <c r="C15" s="9" t="n"/>
      <c r="D15" s="21" t="n">
        <v>1</v>
      </c>
      <c r="E15" s="9" t="n"/>
      <c r="F15" s="21" t="n">
        <v>0.85</v>
      </c>
      <c r="G15" s="9" t="n"/>
      <c r="H15" s="22" t="n">
        <v>1</v>
      </c>
      <c r="I15" s="88" t="n"/>
      <c r="J15" s="22" t="n">
        <v>0.8</v>
      </c>
      <c r="K15" s="11">
        <f>S15*F15</f>
        <v/>
      </c>
      <c r="L15" s="67" t="inlineStr">
        <is>
          <t>kW</t>
        </is>
      </c>
      <c r="M15" s="11">
        <f>K15*D15*H15*I7*J15</f>
        <v/>
      </c>
      <c r="N15" s="67" t="inlineStr">
        <is>
          <t>kW</t>
        </is>
      </c>
      <c r="O15" s="8">
        <f>K15*TAN(ACOS(F15))</f>
        <v/>
      </c>
      <c r="P15" s="9" t="inlineStr">
        <is>
          <t>kVar</t>
        </is>
      </c>
      <c r="Q15" s="8">
        <f>(K15*TAN(ACOS(F15)))*D15*H15*I7*J15</f>
        <v/>
      </c>
      <c r="R15" s="9" t="inlineStr">
        <is>
          <t>kVar</t>
        </is>
      </c>
      <c r="S15" s="8" t="n">
        <v>85</v>
      </c>
      <c r="T15" s="9" t="inlineStr">
        <is>
          <t>kVA</t>
        </is>
      </c>
      <c r="U15" s="8">
        <f>S15*D15*H15*I7*J15</f>
        <v/>
      </c>
      <c r="V15" s="9" t="inlineStr">
        <is>
          <t>kVA</t>
        </is>
      </c>
      <c r="W15" s="15" t="n"/>
      <c r="X15" s="42" t="inlineStr">
        <is>
          <t>Nombre de Circuits</t>
        </is>
      </c>
      <c r="Y15" s="78" t="n"/>
      <c r="Z15" s="43" t="n">
        <v>11</v>
      </c>
    </row>
    <row r="16">
      <c r="W16" s="15" t="n"/>
      <c r="X16" s="80" t="n"/>
      <c r="Y16" s="82" t="n"/>
      <c r="Z16" s="88" t="n"/>
    </row>
    <row r="17" ht="15" customHeight="1" s="13"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S22" s="20" t="n"/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S23" s="20" t="n"/>
      <c r="W23" s="15" t="n"/>
      <c r="X23" s="88" t="n"/>
      <c r="Y23" s="80" t="n"/>
      <c r="Z23" s="82" t="n"/>
    </row>
    <row r="24">
      <c r="S24" s="20" t="n"/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S25" s="20" t="n"/>
      <c r="W25" s="16" t="n"/>
      <c r="X25" s="88" t="n"/>
      <c r="Y25" s="80" t="n"/>
      <c r="Z25" s="82" t="n"/>
    </row>
    <row r="26">
      <c r="S26" s="20" t="n"/>
    </row>
  </sheetData>
  <mergeCells count="66">
    <mergeCell ref="Y24:Y25"/>
    <mergeCell ref="A1:Z4"/>
    <mergeCell ref="F11:G11"/>
    <mergeCell ref="D10:E10"/>
    <mergeCell ref="Y9:Y10"/>
    <mergeCell ref="Z17:Z19"/>
    <mergeCell ref="F10:G10"/>
    <mergeCell ref="O6:P6"/>
    <mergeCell ref="U6:V6"/>
    <mergeCell ref="X7:X8"/>
    <mergeCell ref="Z7:Z8"/>
    <mergeCell ref="S5:V5"/>
    <mergeCell ref="A12:C12"/>
    <mergeCell ref="Y11:Y12"/>
    <mergeCell ref="Y20:Y21"/>
    <mergeCell ref="F7:G7"/>
    <mergeCell ref="Z22:Z23"/>
    <mergeCell ref="X24:X25"/>
    <mergeCell ref="X17:Y19"/>
    <mergeCell ref="F12:G12"/>
    <mergeCell ref="X14:Z14"/>
    <mergeCell ref="F15:G15"/>
    <mergeCell ref="D11:E11"/>
    <mergeCell ref="A14:C14"/>
    <mergeCell ref="D13:E13"/>
    <mergeCell ref="A8:C8"/>
    <mergeCell ref="Y22:Y23"/>
    <mergeCell ref="D5:E6"/>
    <mergeCell ref="Y7:Y8"/>
    <mergeCell ref="X20:X21"/>
    <mergeCell ref="K5:N5"/>
    <mergeCell ref="Z20:Z21"/>
    <mergeCell ref="F8:G8"/>
    <mergeCell ref="A10:C10"/>
    <mergeCell ref="A13:C13"/>
    <mergeCell ref="D7:E7"/>
    <mergeCell ref="M6:N6"/>
    <mergeCell ref="H5:J5"/>
    <mergeCell ref="Q6:R6"/>
    <mergeCell ref="X22:X23"/>
    <mergeCell ref="S6:T6"/>
    <mergeCell ref="A9:C9"/>
    <mergeCell ref="X9:X10"/>
    <mergeCell ref="O5:R5"/>
    <mergeCell ref="A7:C7"/>
    <mergeCell ref="F13:G13"/>
    <mergeCell ref="A15:C15"/>
    <mergeCell ref="D9:E9"/>
    <mergeCell ref="F9:G9"/>
    <mergeCell ref="D12:E12"/>
    <mergeCell ref="D8:E8"/>
    <mergeCell ref="Z15:Z16"/>
    <mergeCell ref="A11:C11"/>
    <mergeCell ref="Z9:Z10"/>
    <mergeCell ref="D15:E15"/>
    <mergeCell ref="A5:C6"/>
    <mergeCell ref="X5:Z6"/>
    <mergeCell ref="F5:G6"/>
    <mergeCell ref="Z24:Z25"/>
    <mergeCell ref="D14:E14"/>
    <mergeCell ref="X15:Y16"/>
    <mergeCell ref="F14:G14"/>
    <mergeCell ref="X11:X12"/>
    <mergeCell ref="K6:L6"/>
    <mergeCell ref="I7:I15"/>
    <mergeCell ref="Z11:Z12"/>
  </mergeCells>
  <pageMargins left="0.7" right="0.7" top="0.75" bottom="0.75" header="0.3" footer="0.3"/>
  <pageSetup orientation="landscape" paperSize="9" scale="56"/>
</worksheet>
</file>

<file path=xl/worksheets/sheet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5"/>
  <sheetViews>
    <sheetView topLeftCell="A4" zoomScale="70" zoomScaleNormal="70" workbookViewId="0">
      <selection activeCell="U13" sqref="U13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2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Tableau de Prises (1x16A 2P+T et 1x32A 3P+N+T)</t>
        </is>
      </c>
      <c r="B7" s="79" t="n"/>
      <c r="C7" s="9" t="n"/>
      <c r="D7" s="21" t="n">
        <v>2</v>
      </c>
      <c r="E7" s="9" t="n"/>
      <c r="F7" s="21" t="n">
        <v>0.9</v>
      </c>
      <c r="G7" s="9" t="n"/>
      <c r="H7" s="22">
        <f>0.1+(0.9/(D7*2))</f>
        <v/>
      </c>
      <c r="I7" s="22" t="n">
        <v>1</v>
      </c>
      <c r="J7" s="22" t="n">
        <v>1</v>
      </c>
      <c r="K7" s="11">
        <f>((230*16)/1000)+(((230*SQRT(3))*32*SQRT(3))/1000)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SUM(M7:M12)</f>
        <v/>
      </c>
      <c r="Z7" s="34" t="inlineStr">
        <is>
          <t>kW</t>
        </is>
      </c>
    </row>
    <row r="8">
      <c r="A8" s="33" t="inlineStr">
        <is>
          <t>Machine d'Injection 7</t>
        </is>
      </c>
      <c r="B8" s="79" t="n"/>
      <c r="C8" s="9" t="n"/>
      <c r="D8" s="21" t="n">
        <v>1</v>
      </c>
      <c r="E8" s="9" t="n"/>
      <c r="F8" s="21" t="n">
        <v>0.85</v>
      </c>
      <c r="G8" s="9" t="n"/>
      <c r="H8" s="22" t="n">
        <v>1</v>
      </c>
      <c r="I8" s="83" t="n"/>
      <c r="J8" s="22" t="n">
        <v>0.8</v>
      </c>
      <c r="K8" s="11">
        <f>S8*F8</f>
        <v/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 t="n">
        <v>85</v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Machine d'Injection 8</t>
        </is>
      </c>
      <c r="B9" s="79" t="n"/>
      <c r="C9" s="9" t="n"/>
      <c r="D9" s="21" t="n">
        <v>1</v>
      </c>
      <c r="E9" s="9" t="n"/>
      <c r="F9" s="21" t="n">
        <v>0.85</v>
      </c>
      <c r="G9" s="9" t="n"/>
      <c r="H9" s="22" t="n">
        <v>1</v>
      </c>
      <c r="I9" s="83" t="n"/>
      <c r="J9" s="22" t="n">
        <v>0.8</v>
      </c>
      <c r="K9" s="11">
        <f>S9*F9</f>
        <v/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 t="n">
        <v>85</v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SUM(Q7:Q12)</f>
        <v/>
      </c>
      <c r="Z9" s="34" t="inlineStr">
        <is>
          <t>kVar</t>
        </is>
      </c>
    </row>
    <row r="10">
      <c r="A10" s="33" t="inlineStr">
        <is>
          <t>Machine d'Injection 9</t>
        </is>
      </c>
      <c r="B10" s="79" t="n"/>
      <c r="C10" s="9" t="n"/>
      <c r="D10" s="21" t="n">
        <v>1</v>
      </c>
      <c r="E10" s="9" t="n"/>
      <c r="F10" s="21" t="n">
        <v>0.85</v>
      </c>
      <c r="G10" s="9" t="n"/>
      <c r="H10" s="22" t="n">
        <v>1</v>
      </c>
      <c r="I10" s="83" t="n"/>
      <c r="J10" s="22" t="n">
        <v>0.8</v>
      </c>
      <c r="K10" s="11">
        <f>S10*F10</f>
        <v/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 t="n">
        <v>85</v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Machine d'Injection 11</t>
        </is>
      </c>
      <c r="B11" s="79" t="n"/>
      <c r="C11" s="9" t="n"/>
      <c r="D11" s="21" t="n">
        <v>1</v>
      </c>
      <c r="E11" s="9" t="n"/>
      <c r="F11" s="21" t="n">
        <v>0.85</v>
      </c>
      <c r="G11" s="9" t="n"/>
      <c r="H11" s="22" t="n">
        <v>1</v>
      </c>
      <c r="I11" s="83" t="n"/>
      <c r="J11" s="22" t="n">
        <v>0.8</v>
      </c>
      <c r="K11" s="11">
        <f>S11*F11</f>
        <v/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 t="n">
        <v>85</v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SUM(U7:U12)</f>
        <v/>
      </c>
      <c r="Z11" s="87" t="inlineStr">
        <is>
          <t>kVA</t>
        </is>
      </c>
    </row>
    <row r="12">
      <c r="A12" s="33" t="inlineStr">
        <is>
          <t>Machine d'Injection 14</t>
        </is>
      </c>
      <c r="B12" s="79" t="n"/>
      <c r="C12" s="9" t="n"/>
      <c r="D12" s="21" t="n">
        <v>1</v>
      </c>
      <c r="E12" s="9" t="n"/>
      <c r="F12" s="21" t="n">
        <v>0.85</v>
      </c>
      <c r="G12" s="9" t="n"/>
      <c r="H12" s="22" t="n">
        <v>1</v>
      </c>
      <c r="I12" s="88" t="n"/>
      <c r="J12" s="22" t="n">
        <v>0.8</v>
      </c>
      <c r="K12" s="11">
        <f>S12*F12</f>
        <v/>
      </c>
      <c r="L12" s="67" t="inlineStr">
        <is>
          <t>kW</t>
        </is>
      </c>
      <c r="M12" s="11">
        <f>K12*D12*H12*I7*J12</f>
        <v/>
      </c>
      <c r="N12" s="67" t="inlineStr">
        <is>
          <t>kW</t>
        </is>
      </c>
      <c r="O12" s="8">
        <f>K12*TAN(ACOS(F12))</f>
        <v/>
      </c>
      <c r="P12" s="9" t="inlineStr">
        <is>
          <t>kVar</t>
        </is>
      </c>
      <c r="Q12" s="8">
        <f>(K12*TAN(ACOS(F12)))*D12*H12*I7*J12</f>
        <v/>
      </c>
      <c r="R12" s="9" t="inlineStr">
        <is>
          <t>kVar</t>
        </is>
      </c>
      <c r="S12" s="8" t="n">
        <v>85</v>
      </c>
      <c r="T12" s="9" t="inlineStr">
        <is>
          <t>kVA</t>
        </is>
      </c>
      <c r="U12" s="8">
        <f>S12*D12*H12*I7*J12</f>
        <v/>
      </c>
      <c r="V12" s="9" t="inlineStr">
        <is>
          <t>kVA</t>
        </is>
      </c>
      <c r="W12" s="15" t="n"/>
      <c r="X12" s="80" t="n"/>
      <c r="Y12" s="80" t="n"/>
      <c r="Z12" s="82" t="n"/>
    </row>
    <row r="13">
      <c r="W13" s="15" t="n"/>
      <c r="X13" s="1" t="n"/>
      <c r="Y13" s="1" t="n"/>
      <c r="Z13" s="17" t="n"/>
    </row>
    <row r="14">
      <c r="W14" s="15" t="n"/>
      <c r="X14" s="44" t="inlineStr">
        <is>
          <t>Puissance du QP2</t>
        </is>
      </c>
      <c r="Y14" s="79" t="n"/>
      <c r="Z14" s="9" t="n"/>
    </row>
    <row r="15">
      <c r="S15" s="20" t="n"/>
      <c r="W15" s="15" t="n"/>
      <c r="X15" s="42" t="inlineStr">
        <is>
          <t>Nombre de Circuits</t>
        </is>
      </c>
      <c r="Y15" s="78" t="n"/>
      <c r="Z15" s="43" t="n">
        <v>7</v>
      </c>
    </row>
    <row r="16">
      <c r="S16" s="20" t="n"/>
      <c r="W16" s="15" t="n"/>
      <c r="X16" s="80" t="n"/>
      <c r="Y16" s="82" t="n"/>
      <c r="Z16" s="88" t="n"/>
    </row>
    <row r="17" ht="15" customHeight="1" s="13">
      <c r="S17" s="20" t="n"/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S22" s="20" t="n"/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S23" s="20" t="n"/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</sheetData>
  <mergeCells count="57">
    <mergeCell ref="Y24:Y25"/>
    <mergeCell ref="A1:Z4"/>
    <mergeCell ref="F11:G11"/>
    <mergeCell ref="D10:E10"/>
    <mergeCell ref="Z17:Z19"/>
    <mergeCell ref="Y9:Y10"/>
    <mergeCell ref="F10:G10"/>
    <mergeCell ref="O6:P6"/>
    <mergeCell ref="U6:V6"/>
    <mergeCell ref="X7:X8"/>
    <mergeCell ref="Z7:Z8"/>
    <mergeCell ref="S5:V5"/>
    <mergeCell ref="A12:C12"/>
    <mergeCell ref="Y11:Y12"/>
    <mergeCell ref="Y20:Y21"/>
    <mergeCell ref="F7:G7"/>
    <mergeCell ref="Z22:Z23"/>
    <mergeCell ref="X24:X25"/>
    <mergeCell ref="X17:Y19"/>
    <mergeCell ref="F12:G12"/>
    <mergeCell ref="X14:Z14"/>
    <mergeCell ref="D11:E11"/>
    <mergeCell ref="A8:C8"/>
    <mergeCell ref="Y22:Y23"/>
    <mergeCell ref="I7:I12"/>
    <mergeCell ref="D5:E6"/>
    <mergeCell ref="Y7:Y8"/>
    <mergeCell ref="X20:X21"/>
    <mergeCell ref="K5:N5"/>
    <mergeCell ref="Z20:Z21"/>
    <mergeCell ref="F8:G8"/>
    <mergeCell ref="A10:C10"/>
    <mergeCell ref="D7:E7"/>
    <mergeCell ref="M6:N6"/>
    <mergeCell ref="H5:J5"/>
    <mergeCell ref="Q6:R6"/>
    <mergeCell ref="X22:X23"/>
    <mergeCell ref="S6:T6"/>
    <mergeCell ref="X9:X10"/>
    <mergeCell ref="A9:C9"/>
    <mergeCell ref="O5:R5"/>
    <mergeCell ref="D9:E9"/>
    <mergeCell ref="F9:G9"/>
    <mergeCell ref="D12:E12"/>
    <mergeCell ref="D8:E8"/>
    <mergeCell ref="Z15:Z16"/>
    <mergeCell ref="A11:C11"/>
    <mergeCell ref="Z9:Z10"/>
    <mergeCell ref="A5:C6"/>
    <mergeCell ref="X5:Z6"/>
    <mergeCell ref="Z24:Z25"/>
    <mergeCell ref="F5:G6"/>
    <mergeCell ref="X15:Y16"/>
    <mergeCell ref="X11:X12"/>
    <mergeCell ref="K6:L6"/>
    <mergeCell ref="A7:C7"/>
    <mergeCell ref="Z11:Z12"/>
  </mergeCells>
  <pageMargins left="0.7" right="0.7" top="0.75" bottom="0.75" header="0.3" footer="0.3"/>
  <pageSetup orientation="landscape" paperSize="9" scale="56"/>
</worksheet>
</file>

<file path=xl/worksheets/sheet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5"/>
  <sheetViews>
    <sheetView topLeftCell="A2" zoomScale="70" zoomScaleNormal="70" workbookViewId="0">
      <selection activeCell="U20" sqref="U20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3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Tableau de Prises (1x16A 2P+T et 1x32A 3P+N+T)</t>
        </is>
      </c>
      <c r="B7" s="79" t="n"/>
      <c r="C7" s="9" t="n"/>
      <c r="D7" s="21" t="n">
        <v>1</v>
      </c>
      <c r="E7" s="9" t="n"/>
      <c r="F7" s="21" t="n">
        <v>0.9</v>
      </c>
      <c r="G7" s="9" t="n"/>
      <c r="H7" s="22">
        <f>0.1+(0.9/(D7*2))</f>
        <v/>
      </c>
      <c r="I7" s="22" t="n">
        <v>1</v>
      </c>
      <c r="J7" s="22" t="n">
        <v>1</v>
      </c>
      <c r="K7" s="11">
        <f>((230*16)/1000)+(((230*SQRT(3))*32*SQRT(3))/1000)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SUM(M7:M11)</f>
        <v/>
      </c>
      <c r="Z7" s="34" t="inlineStr">
        <is>
          <t>kW</t>
        </is>
      </c>
    </row>
    <row r="8">
      <c r="A8" s="33" t="inlineStr">
        <is>
          <t>Machine d'Injection 12</t>
        </is>
      </c>
      <c r="B8" s="79" t="n"/>
      <c r="C8" s="9" t="n"/>
      <c r="D8" s="21" t="n">
        <v>1</v>
      </c>
      <c r="E8" s="9" t="n"/>
      <c r="F8" s="21" t="n">
        <v>0.85</v>
      </c>
      <c r="G8" s="9" t="n"/>
      <c r="H8" s="22" t="n">
        <v>1</v>
      </c>
      <c r="I8" s="83" t="n"/>
      <c r="J8" s="22" t="n">
        <v>0.8</v>
      </c>
      <c r="K8" s="11">
        <f>S8*F8</f>
        <v/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 t="n">
        <v>85</v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Machine d'Injection 13</t>
        </is>
      </c>
      <c r="B9" s="79" t="n"/>
      <c r="C9" s="9" t="n"/>
      <c r="D9" s="21" t="n">
        <v>1</v>
      </c>
      <c r="E9" s="9" t="n"/>
      <c r="F9" s="21" t="n">
        <v>0.85</v>
      </c>
      <c r="G9" s="9" t="n"/>
      <c r="H9" s="22" t="n">
        <v>1</v>
      </c>
      <c r="I9" s="83" t="n"/>
      <c r="J9" s="22" t="n">
        <v>0.8</v>
      </c>
      <c r="K9" s="11">
        <f>S9*F9</f>
        <v/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 t="n">
        <v>85</v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SUM(Q7:Q11)</f>
        <v/>
      </c>
      <c r="Z9" s="34" t="inlineStr">
        <is>
          <t>kVar</t>
        </is>
      </c>
    </row>
    <row r="10">
      <c r="A10" s="33" t="inlineStr">
        <is>
          <t>Machine d'Injection 15</t>
        </is>
      </c>
      <c r="B10" s="79" t="n"/>
      <c r="C10" s="9" t="n"/>
      <c r="D10" s="21" t="n">
        <v>1</v>
      </c>
      <c r="E10" s="9" t="n"/>
      <c r="F10" s="21" t="n">
        <v>0.85</v>
      </c>
      <c r="G10" s="9" t="n"/>
      <c r="H10" s="22" t="n">
        <v>1</v>
      </c>
      <c r="I10" s="83" t="n"/>
      <c r="J10" s="22" t="n">
        <v>0.8</v>
      </c>
      <c r="K10" s="11">
        <f>S10*F10</f>
        <v/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 t="n">
        <v>85</v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Machine d'Injection 16</t>
        </is>
      </c>
      <c r="B11" s="79" t="n"/>
      <c r="C11" s="9" t="n"/>
      <c r="D11" s="21" t="n">
        <v>1</v>
      </c>
      <c r="E11" s="9" t="n"/>
      <c r="F11" s="21" t="n">
        <v>0.85</v>
      </c>
      <c r="G11" s="9" t="n"/>
      <c r="H11" s="22" t="n">
        <v>1</v>
      </c>
      <c r="I11" s="88" t="n"/>
      <c r="J11" s="22" t="n">
        <v>0.8</v>
      </c>
      <c r="K11" s="11">
        <f>S11*F11</f>
        <v/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 t="n">
        <v>85</v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SUM(U7:U11)</f>
        <v/>
      </c>
      <c r="Z11" s="87" t="inlineStr">
        <is>
          <t>kVA</t>
        </is>
      </c>
    </row>
    <row r="12">
      <c r="W12" s="15" t="n"/>
      <c r="X12" s="80" t="n"/>
      <c r="Y12" s="80" t="n"/>
      <c r="Z12" s="82" t="n"/>
    </row>
    <row r="13">
      <c r="W13" s="15" t="n"/>
      <c r="X13" s="1" t="n"/>
      <c r="Y13" s="1" t="n"/>
      <c r="Z13" s="17" t="n"/>
    </row>
    <row r="14">
      <c r="S14" s="20" t="n"/>
      <c r="W14" s="15" t="n"/>
      <c r="X14" s="44" t="inlineStr">
        <is>
          <t>Puissance du QP3</t>
        </is>
      </c>
      <c r="Y14" s="79" t="n"/>
      <c r="Z14" s="9" t="n"/>
    </row>
    <row r="15">
      <c r="S15" s="20" t="n"/>
      <c r="W15" s="15" t="n"/>
      <c r="X15" s="42" t="inlineStr">
        <is>
          <t>Nombre de Circuits</t>
        </is>
      </c>
      <c r="Y15" s="78" t="n"/>
      <c r="Z15" s="43" t="n">
        <v>5</v>
      </c>
    </row>
    <row r="16">
      <c r="S16" s="20" t="n"/>
      <c r="W16" s="15" t="n"/>
      <c r="X16" s="80" t="n"/>
      <c r="Y16" s="82" t="n"/>
      <c r="Z16" s="88" t="n"/>
    </row>
    <row r="17" ht="15" customHeight="1" s="13">
      <c r="S17" s="20" t="n"/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S22" s="20" t="n"/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</sheetData>
  <mergeCells count="54">
    <mergeCell ref="Y24:Y25"/>
    <mergeCell ref="A1:Z4"/>
    <mergeCell ref="F11:G11"/>
    <mergeCell ref="D10:E10"/>
    <mergeCell ref="Z17:Z19"/>
    <mergeCell ref="Y9:Y10"/>
    <mergeCell ref="F10:G10"/>
    <mergeCell ref="O6:P6"/>
    <mergeCell ref="U6:V6"/>
    <mergeCell ref="X7:X8"/>
    <mergeCell ref="Z7:Z8"/>
    <mergeCell ref="S5:V5"/>
    <mergeCell ref="Y11:Y12"/>
    <mergeCell ref="Y20:Y21"/>
    <mergeCell ref="F7:G7"/>
    <mergeCell ref="Z22:Z23"/>
    <mergeCell ref="X24:X25"/>
    <mergeCell ref="X17:Y19"/>
    <mergeCell ref="X14:Z14"/>
    <mergeCell ref="D11:E11"/>
    <mergeCell ref="A8:C8"/>
    <mergeCell ref="Y22:Y23"/>
    <mergeCell ref="D5:E6"/>
    <mergeCell ref="Y7:Y8"/>
    <mergeCell ref="X20:X21"/>
    <mergeCell ref="K5:N5"/>
    <mergeCell ref="Z20:Z21"/>
    <mergeCell ref="F8:G8"/>
    <mergeCell ref="A10:C10"/>
    <mergeCell ref="D7:E7"/>
    <mergeCell ref="M6:N6"/>
    <mergeCell ref="H5:J5"/>
    <mergeCell ref="Q6:R6"/>
    <mergeCell ref="X22:X23"/>
    <mergeCell ref="S6:T6"/>
    <mergeCell ref="X9:X10"/>
    <mergeCell ref="A9:C9"/>
    <mergeCell ref="O5:R5"/>
    <mergeCell ref="D9:E9"/>
    <mergeCell ref="I7:I11"/>
    <mergeCell ref="F9:G9"/>
    <mergeCell ref="D8:E8"/>
    <mergeCell ref="Z15:Z16"/>
    <mergeCell ref="A11:C11"/>
    <mergeCell ref="Z9:Z10"/>
    <mergeCell ref="A5:C6"/>
    <mergeCell ref="X5:Z6"/>
    <mergeCell ref="Z24:Z25"/>
    <mergeCell ref="F5:G6"/>
    <mergeCell ref="X15:Y16"/>
    <mergeCell ref="X11:X12"/>
    <mergeCell ref="K6:L6"/>
    <mergeCell ref="A7:C7"/>
    <mergeCell ref="Z11:Z12"/>
  </mergeCells>
  <pageMargins left="0.7" right="0.7" top="0.75" bottom="0.75" header="0.3" footer="0.3"/>
  <pageSetup orientation="landscape" paperSize="9" scale="56"/>
</worksheet>
</file>

<file path=xl/worksheets/sheet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5"/>
  <sheetViews>
    <sheetView topLeftCell="A4" zoomScale="70" zoomScaleNormal="70" workbookViewId="0">
      <selection activeCell="Y11" sqref="Y11:Y12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4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Tableau de Prises (1x16A 2P+T et 1x32A 3P+N+T)</t>
        </is>
      </c>
      <c r="B7" s="79" t="n"/>
      <c r="C7" s="9" t="n"/>
      <c r="D7" s="21" t="n">
        <v>3</v>
      </c>
      <c r="E7" s="9" t="n"/>
      <c r="F7" s="21" t="n">
        <v>0.9</v>
      </c>
      <c r="G7" s="9" t="n"/>
      <c r="H7" s="22">
        <f>0.1+(0.9/(D7*2))</f>
        <v/>
      </c>
      <c r="I7" s="22" t="n">
        <v>1</v>
      </c>
      <c r="J7" s="22" t="n">
        <v>1</v>
      </c>
      <c r="K7" s="11">
        <f>((230*16)/1000)+(((230*SQRT(3))*32*SQRT(3))/1000)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SUM(M7:M16)</f>
        <v/>
      </c>
      <c r="Z7" s="34" t="inlineStr">
        <is>
          <t>kW</t>
        </is>
      </c>
    </row>
    <row r="8">
      <c r="A8" s="33" t="inlineStr">
        <is>
          <t>Pont Roulant</t>
        </is>
      </c>
      <c r="B8" s="79" t="n"/>
      <c r="C8" s="9" t="n"/>
      <c r="D8" s="21" t="n">
        <v>1</v>
      </c>
      <c r="E8" s="9" t="n"/>
      <c r="F8" s="21" t="n">
        <v>0.85</v>
      </c>
      <c r="G8" s="9" t="n"/>
      <c r="H8" s="22" t="n">
        <v>1</v>
      </c>
      <c r="I8" s="83" t="n"/>
      <c r="J8" s="22" t="n">
        <v>0.8</v>
      </c>
      <c r="K8" s="11" t="n">
        <v>1.863</v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>
        <f>K8/F8</f>
        <v/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Pompe à Eau 1</t>
        </is>
      </c>
      <c r="B9" s="79" t="n"/>
      <c r="C9" s="9" t="n"/>
      <c r="D9" s="21" t="n">
        <v>1</v>
      </c>
      <c r="E9" s="9" t="n"/>
      <c r="F9" s="21" t="n">
        <v>0.85</v>
      </c>
      <c r="G9" s="9" t="n"/>
      <c r="H9" s="22" t="n">
        <v>1</v>
      </c>
      <c r="I9" s="83" t="n"/>
      <c r="J9" s="22" t="n">
        <v>0.8</v>
      </c>
      <c r="K9" s="11" t="n">
        <v>1.491</v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>
        <f>K9/F9</f>
        <v/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SUM(Q7:Q16)</f>
        <v/>
      </c>
      <c r="Z9" s="34" t="inlineStr">
        <is>
          <t>kVar</t>
        </is>
      </c>
    </row>
    <row r="10">
      <c r="A10" s="33" t="inlineStr">
        <is>
          <t>Pompe à Eau 2</t>
        </is>
      </c>
      <c r="B10" s="79" t="n"/>
      <c r="C10" s="9" t="n"/>
      <c r="D10" s="21" t="n">
        <v>1</v>
      </c>
      <c r="E10" s="9" t="n"/>
      <c r="F10" s="21" t="n">
        <v>0.85</v>
      </c>
      <c r="G10" s="9" t="n"/>
      <c r="H10" s="22" t="n">
        <v>1</v>
      </c>
      <c r="I10" s="83" t="n"/>
      <c r="J10" s="22" t="n">
        <v>0.8</v>
      </c>
      <c r="K10" s="11" t="n">
        <v>1.491</v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>
        <f>K10/F10</f>
        <v/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Pompe à Eau 3</t>
        </is>
      </c>
      <c r="B11" s="79" t="n"/>
      <c r="C11" s="9" t="n"/>
      <c r="D11" s="21" t="n">
        <v>1</v>
      </c>
      <c r="E11" s="9" t="n"/>
      <c r="F11" s="21" t="n">
        <v>0.85</v>
      </c>
      <c r="G11" s="9" t="n"/>
      <c r="H11" s="22" t="n">
        <v>1</v>
      </c>
      <c r="I11" s="83" t="n"/>
      <c r="J11" s="22" t="n">
        <v>0.8</v>
      </c>
      <c r="K11" s="11" t="n">
        <v>1.491</v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>
        <f>K11/F11</f>
        <v/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SUM(U7:U16)</f>
        <v/>
      </c>
      <c r="Z11" s="87" t="inlineStr">
        <is>
          <t>kVA</t>
        </is>
      </c>
    </row>
    <row r="12">
      <c r="A12" s="33" t="inlineStr">
        <is>
          <t>Mélangeur</t>
        </is>
      </c>
      <c r="B12" s="79" t="n"/>
      <c r="C12" s="9" t="n"/>
      <c r="D12" s="21" t="n">
        <v>1</v>
      </c>
      <c r="E12" s="9" t="n"/>
      <c r="F12" s="21" t="n">
        <v>0.85</v>
      </c>
      <c r="G12" s="9" t="n"/>
      <c r="H12" s="22" t="n">
        <v>1</v>
      </c>
      <c r="I12" s="83" t="n"/>
      <c r="J12" s="22" t="n">
        <v>0.8</v>
      </c>
      <c r="K12" s="11">
        <f>S12*F12</f>
        <v/>
      </c>
      <c r="L12" s="67" t="inlineStr">
        <is>
          <t>kW</t>
        </is>
      </c>
      <c r="M12" s="11">
        <f>K12*D12*H12*I7*J12</f>
        <v/>
      </c>
      <c r="N12" s="67" t="inlineStr">
        <is>
          <t>kW</t>
        </is>
      </c>
      <c r="O12" s="8">
        <f>K12*TAN(ACOS(F12))</f>
        <v/>
      </c>
      <c r="P12" s="9" t="inlineStr">
        <is>
          <t>kVar</t>
        </is>
      </c>
      <c r="Q12" s="8">
        <f>(K12*TAN(ACOS(F12)))*D12*H12*I7*J12</f>
        <v/>
      </c>
      <c r="R12" s="9" t="inlineStr">
        <is>
          <t>kVar</t>
        </is>
      </c>
      <c r="S12" s="8" t="n">
        <v>15</v>
      </c>
      <c r="T12" s="9" t="inlineStr">
        <is>
          <t>kVA</t>
        </is>
      </c>
      <c r="U12" s="8">
        <f>S12*D12*H12*I7*J12</f>
        <v/>
      </c>
      <c r="V12" s="9" t="inlineStr">
        <is>
          <t>kVA</t>
        </is>
      </c>
      <c r="W12" s="15" t="n"/>
      <c r="X12" s="80" t="n"/>
      <c r="Y12" s="80" t="n"/>
      <c r="Z12" s="82" t="n"/>
    </row>
    <row r="13">
      <c r="A13" s="33" t="inlineStr">
        <is>
          <t>Réfrigérateur 1</t>
        </is>
      </c>
      <c r="B13" s="79" t="n"/>
      <c r="C13" s="9" t="n"/>
      <c r="D13" s="21" t="n">
        <v>1</v>
      </c>
      <c r="E13" s="9" t="n"/>
      <c r="F13" s="21" t="n">
        <v>0.85</v>
      </c>
      <c r="G13" s="9" t="n"/>
      <c r="H13" s="22" t="n">
        <v>1</v>
      </c>
      <c r="I13" s="83" t="n"/>
      <c r="J13" s="22" t="n">
        <v>0.8</v>
      </c>
      <c r="K13" s="11">
        <f>S13*F13</f>
        <v/>
      </c>
      <c r="L13" s="67" t="inlineStr">
        <is>
          <t>kW</t>
        </is>
      </c>
      <c r="M13" s="11">
        <f>K13*D13*H13*I7*J13</f>
        <v/>
      </c>
      <c r="N13" s="67" t="inlineStr">
        <is>
          <t>kW</t>
        </is>
      </c>
      <c r="O13" s="8">
        <f>K13*TAN(ACOS(F13))</f>
        <v/>
      </c>
      <c r="P13" s="9" t="inlineStr">
        <is>
          <t>kVar</t>
        </is>
      </c>
      <c r="Q13" s="8">
        <f>(K13*TAN(ACOS(F13)))*D13*H13*I7*J13</f>
        <v/>
      </c>
      <c r="R13" s="9" t="inlineStr">
        <is>
          <t>kVar</t>
        </is>
      </c>
      <c r="S13" s="8" t="n">
        <v>15</v>
      </c>
      <c r="T13" s="9" t="inlineStr">
        <is>
          <t>kVA</t>
        </is>
      </c>
      <c r="U13" s="8">
        <f>S13*D13*H13*I7*J13</f>
        <v/>
      </c>
      <c r="V13" s="9" t="inlineStr">
        <is>
          <t>kVA</t>
        </is>
      </c>
      <c r="W13" s="15" t="n"/>
      <c r="X13" s="1" t="n"/>
      <c r="Y13" s="1" t="n"/>
      <c r="Z13" s="17" t="n"/>
    </row>
    <row r="14">
      <c r="A14" s="33" t="inlineStr">
        <is>
          <t>Réfrigérateur 2</t>
        </is>
      </c>
      <c r="B14" s="79" t="n"/>
      <c r="C14" s="9" t="n"/>
      <c r="D14" s="21" t="n">
        <v>1</v>
      </c>
      <c r="E14" s="9" t="n"/>
      <c r="F14" s="21" t="n">
        <v>0.85</v>
      </c>
      <c r="G14" s="9" t="n"/>
      <c r="H14" s="22" t="n">
        <v>1</v>
      </c>
      <c r="I14" s="83" t="n"/>
      <c r="J14" s="22" t="n">
        <v>0.8</v>
      </c>
      <c r="K14" s="11">
        <f>S14*F14</f>
        <v/>
      </c>
      <c r="L14" s="67" t="inlineStr">
        <is>
          <t>kW</t>
        </is>
      </c>
      <c r="M14" s="11">
        <f>K14*D14*H14*I7*J14</f>
        <v/>
      </c>
      <c r="N14" s="67" t="inlineStr">
        <is>
          <t>kW</t>
        </is>
      </c>
      <c r="O14" s="8">
        <f>K14*TAN(ACOS(F14))</f>
        <v/>
      </c>
      <c r="P14" s="9" t="inlineStr">
        <is>
          <t>kVar</t>
        </is>
      </c>
      <c r="Q14" s="8">
        <f>(K14*TAN(ACOS(F14)))*D14*H14*I7*J14</f>
        <v/>
      </c>
      <c r="R14" s="9" t="inlineStr">
        <is>
          <t>kVar</t>
        </is>
      </c>
      <c r="S14" s="8" t="n">
        <v>15</v>
      </c>
      <c r="T14" s="9" t="inlineStr">
        <is>
          <t>kVA</t>
        </is>
      </c>
      <c r="U14" s="8">
        <f>S14*D14*H14*I7*J14</f>
        <v/>
      </c>
      <c r="V14" s="9" t="inlineStr">
        <is>
          <t>kVA</t>
        </is>
      </c>
      <c r="W14" s="15" t="n"/>
      <c r="X14" s="44" t="inlineStr">
        <is>
          <t>Puissance du QP4</t>
        </is>
      </c>
      <c r="Y14" s="79" t="n"/>
      <c r="Z14" s="9" t="n"/>
    </row>
    <row r="15">
      <c r="A15" s="33" t="inlineStr">
        <is>
          <t>Réfrigérateur 3</t>
        </is>
      </c>
      <c r="B15" s="79" t="n"/>
      <c r="C15" s="9" t="n"/>
      <c r="D15" s="21" t="n">
        <v>1</v>
      </c>
      <c r="E15" s="9" t="n"/>
      <c r="F15" s="21" t="n">
        <v>0.85</v>
      </c>
      <c r="G15" s="9" t="n"/>
      <c r="H15" s="22" t="n">
        <v>1</v>
      </c>
      <c r="I15" s="83" t="n"/>
      <c r="J15" s="22" t="n">
        <v>0.8</v>
      </c>
      <c r="K15" s="11">
        <f>S15*F15</f>
        <v/>
      </c>
      <c r="L15" s="67" t="inlineStr">
        <is>
          <t>kW</t>
        </is>
      </c>
      <c r="M15" s="11">
        <f>K15*D15*H15*I7*J15</f>
        <v/>
      </c>
      <c r="N15" s="67" t="inlineStr">
        <is>
          <t>kW</t>
        </is>
      </c>
      <c r="O15" s="8">
        <f>K15*TAN(ACOS(F15))</f>
        <v/>
      </c>
      <c r="P15" s="9" t="inlineStr">
        <is>
          <t>kVar</t>
        </is>
      </c>
      <c r="Q15" s="8">
        <f>(K15*TAN(ACOS(F15)))*D15*H15*I7*J15</f>
        <v/>
      </c>
      <c r="R15" s="9" t="inlineStr">
        <is>
          <t>kVar</t>
        </is>
      </c>
      <c r="S15" s="8" t="n">
        <v>15</v>
      </c>
      <c r="T15" s="9" t="inlineStr">
        <is>
          <t>kVA</t>
        </is>
      </c>
      <c r="U15" s="8">
        <f>S15*D15*H15*I7*J15</f>
        <v/>
      </c>
      <c r="V15" s="9" t="inlineStr">
        <is>
          <t>kVA</t>
        </is>
      </c>
      <c r="W15" s="15" t="n"/>
      <c r="X15" s="42" t="inlineStr">
        <is>
          <t>Nombre de Circuits</t>
        </is>
      </c>
      <c r="Y15" s="78" t="n"/>
      <c r="Z15" s="43" t="n">
        <v>13</v>
      </c>
    </row>
    <row r="16">
      <c r="A16" s="33" t="inlineStr">
        <is>
          <t>Broyeur</t>
        </is>
      </c>
      <c r="B16" s="79" t="n"/>
      <c r="C16" s="9" t="n"/>
      <c r="D16" s="21" t="n">
        <v>1</v>
      </c>
      <c r="E16" s="9" t="n"/>
      <c r="F16" s="21" t="n">
        <v>0.85</v>
      </c>
      <c r="G16" s="9" t="n"/>
      <c r="H16" s="22" t="n">
        <v>1</v>
      </c>
      <c r="I16" s="88" t="n"/>
      <c r="J16" s="22" t="n">
        <v>0.8</v>
      </c>
      <c r="K16" s="11">
        <f>S16*F16</f>
        <v/>
      </c>
      <c r="L16" s="67" t="inlineStr">
        <is>
          <t>kW</t>
        </is>
      </c>
      <c r="M16" s="11">
        <f>K16*D16*H16*I7*J16</f>
        <v/>
      </c>
      <c r="N16" s="67" t="inlineStr">
        <is>
          <t>kW</t>
        </is>
      </c>
      <c r="O16" s="8">
        <f>K16*TAN(ACOS(F16))</f>
        <v/>
      </c>
      <c r="P16" s="9" t="inlineStr">
        <is>
          <t>kVar</t>
        </is>
      </c>
      <c r="Q16" s="8">
        <f>(K16*TAN(ACOS(F16)))*D16*H16*I7*J16</f>
        <v/>
      </c>
      <c r="R16" s="9" t="inlineStr">
        <is>
          <t>kVar</t>
        </is>
      </c>
      <c r="S16" s="8" t="n">
        <v>70</v>
      </c>
      <c r="T16" s="9" t="inlineStr">
        <is>
          <t>kVA</t>
        </is>
      </c>
      <c r="U16" s="8">
        <f>S16*D16*H16*I7*J16</f>
        <v/>
      </c>
      <c r="V16" s="9" t="inlineStr">
        <is>
          <t>kVA</t>
        </is>
      </c>
      <c r="W16" s="15" t="n"/>
      <c r="X16" s="80" t="n"/>
      <c r="Y16" s="82" t="n"/>
      <c r="Z16" s="88" t="n"/>
    </row>
    <row r="17" ht="15" customHeight="1" s="13">
      <c r="S17" s="20" t="n"/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S22" s="20" t="n"/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</sheetData>
  <mergeCells count="69">
    <mergeCell ref="Y24:Y25"/>
    <mergeCell ref="A1:Z4"/>
    <mergeCell ref="F11:G11"/>
    <mergeCell ref="D10:E10"/>
    <mergeCell ref="Z17:Z19"/>
    <mergeCell ref="Y9:Y10"/>
    <mergeCell ref="F16:G16"/>
    <mergeCell ref="F10:G10"/>
    <mergeCell ref="O6:P6"/>
    <mergeCell ref="U6:V6"/>
    <mergeCell ref="X7:X8"/>
    <mergeCell ref="Z7:Z8"/>
    <mergeCell ref="S5:V5"/>
    <mergeCell ref="A12:C12"/>
    <mergeCell ref="Y11:Y12"/>
    <mergeCell ref="Y20:Y21"/>
    <mergeCell ref="F7:G7"/>
    <mergeCell ref="Z22:Z23"/>
    <mergeCell ref="X24:X25"/>
    <mergeCell ref="X17:Y19"/>
    <mergeCell ref="F12:G12"/>
    <mergeCell ref="X14:Z14"/>
    <mergeCell ref="F15:G15"/>
    <mergeCell ref="D13:E13"/>
    <mergeCell ref="A14:C14"/>
    <mergeCell ref="D11:E11"/>
    <mergeCell ref="A8:C8"/>
    <mergeCell ref="Y22:Y23"/>
    <mergeCell ref="D5:E6"/>
    <mergeCell ref="Y7:Y8"/>
    <mergeCell ref="X20:X21"/>
    <mergeCell ref="I7:I16"/>
    <mergeCell ref="K5:N5"/>
    <mergeCell ref="Z20:Z21"/>
    <mergeCell ref="F8:G8"/>
    <mergeCell ref="A10:C10"/>
    <mergeCell ref="D16:E16"/>
    <mergeCell ref="A13:C13"/>
    <mergeCell ref="D7:E7"/>
    <mergeCell ref="M6:N6"/>
    <mergeCell ref="H5:J5"/>
    <mergeCell ref="Q6:R6"/>
    <mergeCell ref="X22:X23"/>
    <mergeCell ref="S6:T6"/>
    <mergeCell ref="X9:X10"/>
    <mergeCell ref="A9:C9"/>
    <mergeCell ref="O5:R5"/>
    <mergeCell ref="F13:G13"/>
    <mergeCell ref="A15:C15"/>
    <mergeCell ref="D9:E9"/>
    <mergeCell ref="F9:G9"/>
    <mergeCell ref="D12:E12"/>
    <mergeCell ref="D8:E8"/>
    <mergeCell ref="Z15:Z16"/>
    <mergeCell ref="A11:C11"/>
    <mergeCell ref="Z9:Z10"/>
    <mergeCell ref="D15:E15"/>
    <mergeCell ref="A5:C6"/>
    <mergeCell ref="X5:Z6"/>
    <mergeCell ref="Z24:Z25"/>
    <mergeCell ref="F5:G6"/>
    <mergeCell ref="D14:E14"/>
    <mergeCell ref="F14:G14"/>
    <mergeCell ref="X15:Y16"/>
    <mergeCell ref="X11:X12"/>
    <mergeCell ref="K6:L6"/>
    <mergeCell ref="A7:C7"/>
    <mergeCell ref="Z11:Z12"/>
    <mergeCell ref="A16:C16"/>
  </mergeCells>
  <pageMargins left="0.7" right="0.7" top="0.75" bottom="0.75" header="0.3" footer="0.3"/>
  <pageSetup orientation="landscape" paperSize="9" scale="56"/>
</worksheet>
</file>

<file path=xl/worksheets/sheet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5"/>
  <sheetViews>
    <sheetView topLeftCell="A4" zoomScale="70" zoomScaleNormal="70" workbookViewId="0">
      <selection activeCell="G26" sqref="G26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5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Luminaire 3F Filippi S.p.A ref.21287</t>
        </is>
      </c>
      <c r="B7" s="79" t="n"/>
      <c r="C7" s="9" t="n"/>
      <c r="D7" s="21" t="n">
        <v>2</v>
      </c>
      <c r="E7" s="9" t="n"/>
      <c r="F7" s="21" t="n">
        <v>0.95</v>
      </c>
      <c r="G7" s="9" t="n"/>
      <c r="H7" s="5" t="n">
        <v>1</v>
      </c>
      <c r="I7" s="22" t="n">
        <v>1</v>
      </c>
      <c r="J7" s="22" t="n">
        <v>1</v>
      </c>
      <c r="K7" s="11">
        <f>(40/0.9)/1000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SUM(M7:M17)</f>
        <v/>
      </c>
      <c r="Z7" s="34" t="inlineStr">
        <is>
          <t>kW</t>
        </is>
      </c>
    </row>
    <row r="8">
      <c r="A8" s="33" t="inlineStr">
        <is>
          <t>Luminaire ERCO ref.32516000</t>
        </is>
      </c>
      <c r="B8" s="79" t="n"/>
      <c r="C8" s="9" t="n"/>
      <c r="D8" s="21" t="n">
        <v>1</v>
      </c>
      <c r="E8" s="9" t="n"/>
      <c r="F8" s="21" t="n">
        <v>0.95</v>
      </c>
      <c r="G8" s="9" t="n"/>
      <c r="H8" s="22" t="n">
        <v>1</v>
      </c>
      <c r="I8" s="83" t="n"/>
      <c r="J8" s="22" t="n">
        <v>1</v>
      </c>
      <c r="K8" s="11">
        <f>(26/0.9)/1000</f>
        <v/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>
        <f>K8/F8</f>
        <v/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Luminaire ERCO ref.87685000</t>
        </is>
      </c>
      <c r="B9" s="79" t="n"/>
      <c r="C9" s="9" t="n"/>
      <c r="D9" s="21" t="n">
        <v>3</v>
      </c>
      <c r="E9" s="9" t="n"/>
      <c r="F9" s="21" t="n">
        <v>0.95</v>
      </c>
      <c r="G9" s="9" t="n"/>
      <c r="H9" s="22" t="n">
        <v>1</v>
      </c>
      <c r="I9" s="83" t="n"/>
      <c r="J9" s="22" t="n">
        <v>1</v>
      </c>
      <c r="K9" s="11">
        <f>(11/0.9)/1000</f>
        <v/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>
        <f>K9/F9</f>
        <v/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SUM(Q7:Q17)</f>
        <v/>
      </c>
      <c r="Z9" s="34" t="inlineStr">
        <is>
          <t>kVar</t>
        </is>
      </c>
    </row>
    <row r="10">
      <c r="A10" s="33" t="inlineStr">
        <is>
          <t>Luminaire LEDVANCE ref.4058075062207</t>
        </is>
      </c>
      <c r="B10" s="79" t="n"/>
      <c r="C10" s="9" t="n"/>
      <c r="D10" s="21" t="n">
        <v>2</v>
      </c>
      <c r="E10" s="9" t="n"/>
      <c r="F10" s="21" t="n">
        <v>0.95</v>
      </c>
      <c r="G10" s="9" t="n"/>
      <c r="H10" s="22" t="n">
        <v>1</v>
      </c>
      <c r="I10" s="83" t="n"/>
      <c r="J10" s="22" t="n">
        <v>1</v>
      </c>
      <c r="K10" s="11">
        <f>(24/0.9)/1000</f>
        <v/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>
        <f>K10/F10</f>
        <v/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Luminaire LEDVANCE ref.4058075064003</t>
        </is>
      </c>
      <c r="B11" s="79" t="n"/>
      <c r="C11" s="9" t="n"/>
      <c r="D11" s="21" t="n">
        <v>36</v>
      </c>
      <c r="E11" s="9" t="n"/>
      <c r="F11" s="21" t="n">
        <v>0.95</v>
      </c>
      <c r="G11" s="9" t="n"/>
      <c r="H11" s="22" t="n">
        <v>1</v>
      </c>
      <c r="I11" s="83" t="n"/>
      <c r="J11" s="22" t="n">
        <v>1</v>
      </c>
      <c r="K11" s="11">
        <f>(22/0.9)/1000</f>
        <v/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>
        <f>K11/F11</f>
        <v/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SUM(U7:U17)</f>
        <v/>
      </c>
      <c r="Z11" s="87" t="inlineStr">
        <is>
          <t>kVA</t>
        </is>
      </c>
    </row>
    <row r="12">
      <c r="A12" s="33" t="inlineStr">
        <is>
          <t>Luminaire LEDVANCE ref.4058075079274</t>
        </is>
      </c>
      <c r="B12" s="79" t="n"/>
      <c r="C12" s="9" t="n"/>
      <c r="D12" s="21" t="n">
        <v>10</v>
      </c>
      <c r="E12" s="9" t="n"/>
      <c r="F12" s="21" t="n">
        <v>0.95</v>
      </c>
      <c r="G12" s="9" t="n"/>
      <c r="H12" s="22" t="n">
        <v>1</v>
      </c>
      <c r="I12" s="83" t="n"/>
      <c r="J12" s="22" t="n">
        <v>1</v>
      </c>
      <c r="K12" s="11">
        <f>(12/0.9)/1000</f>
        <v/>
      </c>
      <c r="L12" s="67" t="inlineStr">
        <is>
          <t>kW</t>
        </is>
      </c>
      <c r="M12" s="11">
        <f>K12*D12*H12*I7*J12</f>
        <v/>
      </c>
      <c r="N12" s="67" t="inlineStr">
        <is>
          <t>kW</t>
        </is>
      </c>
      <c r="O12" s="8">
        <f>K12*TAN(ACOS(F12))</f>
        <v/>
      </c>
      <c r="P12" s="9" t="inlineStr">
        <is>
          <t>kVar</t>
        </is>
      </c>
      <c r="Q12" s="8">
        <f>(K12*TAN(ACOS(F12)))*D12*H12*I7*J12</f>
        <v/>
      </c>
      <c r="R12" s="9" t="inlineStr">
        <is>
          <t>kVar</t>
        </is>
      </c>
      <c r="S12" s="8">
        <f>K12/F12</f>
        <v/>
      </c>
      <c r="T12" s="9" t="inlineStr">
        <is>
          <t>kVA</t>
        </is>
      </c>
      <c r="U12" s="8">
        <f>S12*D12*H12*I7*J12</f>
        <v/>
      </c>
      <c r="V12" s="9" t="inlineStr">
        <is>
          <t>kVA</t>
        </is>
      </c>
      <c r="W12" s="15" t="n"/>
      <c r="X12" s="80" t="n"/>
      <c r="Y12" s="80" t="n"/>
      <c r="Z12" s="82" t="n"/>
    </row>
    <row r="13">
      <c r="A13" s="33" t="inlineStr">
        <is>
          <t>Luminaire LEDVANCE ref.4058075079335</t>
        </is>
      </c>
      <c r="B13" s="79" t="n"/>
      <c r="C13" s="9" t="n"/>
      <c r="D13" s="21" t="n">
        <v>5</v>
      </c>
      <c r="E13" s="9" t="n"/>
      <c r="F13" s="21" t="n">
        <v>0.95</v>
      </c>
      <c r="G13" s="9" t="n"/>
      <c r="H13" s="22" t="n">
        <v>1</v>
      </c>
      <c r="I13" s="83" t="n"/>
      <c r="J13" s="22" t="n">
        <v>1</v>
      </c>
      <c r="K13" s="11">
        <f>(18/0.9)/1000</f>
        <v/>
      </c>
      <c r="L13" s="67" t="inlineStr">
        <is>
          <t>kW</t>
        </is>
      </c>
      <c r="M13" s="11">
        <f>K13*D13*H13*I7*J13</f>
        <v/>
      </c>
      <c r="N13" s="67" t="inlineStr">
        <is>
          <t>kW</t>
        </is>
      </c>
      <c r="O13" s="8">
        <f>K13*TAN(ACOS(F13))</f>
        <v/>
      </c>
      <c r="P13" s="9" t="inlineStr">
        <is>
          <t>kVar</t>
        </is>
      </c>
      <c r="Q13" s="8">
        <f>(K13*TAN(ACOS(F13)))*D13*H13*I7*J13</f>
        <v/>
      </c>
      <c r="R13" s="9" t="inlineStr">
        <is>
          <t>kVar</t>
        </is>
      </c>
      <c r="S13" s="8">
        <f>K13/F13</f>
        <v/>
      </c>
      <c r="T13" s="9" t="inlineStr">
        <is>
          <t>kVA</t>
        </is>
      </c>
      <c r="U13" s="8">
        <f>S13*D13*H13*I7*J13</f>
        <v/>
      </c>
      <c r="V13" s="9" t="inlineStr">
        <is>
          <t>kVA</t>
        </is>
      </c>
      <c r="W13" s="15" t="n"/>
      <c r="X13" s="1" t="n"/>
      <c r="Y13" s="1" t="n"/>
      <c r="Z13" s="17" t="n"/>
    </row>
    <row r="14">
      <c r="A14" s="33" t="inlineStr">
        <is>
          <t>Luminaire LEDVANCE ref.4099854000201</t>
        </is>
      </c>
      <c r="B14" s="79" t="n"/>
      <c r="C14" s="9" t="n"/>
      <c r="D14" s="21" t="n">
        <v>3</v>
      </c>
      <c r="E14" s="9" t="n"/>
      <c r="F14" s="21" t="n">
        <v>0.95</v>
      </c>
      <c r="G14" s="9" t="n"/>
      <c r="H14" s="22" t="n">
        <v>1</v>
      </c>
      <c r="I14" s="83" t="n"/>
      <c r="J14" s="22" t="n">
        <v>1</v>
      </c>
      <c r="K14" s="11">
        <f>(4/0.9)/1000</f>
        <v/>
      </c>
      <c r="L14" s="67" t="inlineStr">
        <is>
          <t>kW</t>
        </is>
      </c>
      <c r="M14" s="11">
        <f>K14*D14*H14*I7*J14</f>
        <v/>
      </c>
      <c r="N14" s="67" t="inlineStr">
        <is>
          <t>kW</t>
        </is>
      </c>
      <c r="O14" s="8">
        <f>K14*TAN(ACOS(F14))</f>
        <v/>
      </c>
      <c r="P14" s="9" t="inlineStr">
        <is>
          <t>kVar</t>
        </is>
      </c>
      <c r="Q14" s="8">
        <f>(K14*TAN(ACOS(F14)))*D14*H14*I7*J14</f>
        <v/>
      </c>
      <c r="R14" s="9" t="inlineStr">
        <is>
          <t>kVar</t>
        </is>
      </c>
      <c r="S14" s="8">
        <f>K14/F14</f>
        <v/>
      </c>
      <c r="T14" s="9" t="inlineStr">
        <is>
          <t>kVA</t>
        </is>
      </c>
      <c r="U14" s="8">
        <f>S14*D14*H14*I7*J14</f>
        <v/>
      </c>
      <c r="V14" s="9" t="inlineStr">
        <is>
          <t>kVA</t>
        </is>
      </c>
      <c r="W14" s="15" t="n"/>
      <c r="X14" s="44" t="inlineStr">
        <is>
          <t>Puissance du QP5</t>
        </is>
      </c>
      <c r="Y14" s="79" t="n"/>
      <c r="Z14" s="9" t="n"/>
    </row>
    <row r="15">
      <c r="A15" s="33" t="inlineStr">
        <is>
          <t>Prises Monophasées - Legrand_ Série Mosaic - Prise 3x2P+T à alvéoles inclinés 45º-connexion automatique - noir mat</t>
        </is>
      </c>
      <c r="B15" s="79" t="n"/>
      <c r="C15" s="9" t="n"/>
      <c r="D15" s="21" t="n">
        <v>36</v>
      </c>
      <c r="E15" s="9" t="n"/>
      <c r="F15" s="21" t="n">
        <v>0.9</v>
      </c>
      <c r="G15" s="9" t="n"/>
      <c r="H15" s="18">
        <f>0.1+(0.9/D15)</f>
        <v/>
      </c>
      <c r="I15" s="83" t="n"/>
      <c r="J15" s="22" t="n">
        <v>1</v>
      </c>
      <c r="K15" s="11" t="n">
        <v>3.68</v>
      </c>
      <c r="L15" s="67" t="inlineStr">
        <is>
          <t>kW</t>
        </is>
      </c>
      <c r="M15" s="11">
        <f>K15*D15*H15*I7*J15</f>
        <v/>
      </c>
      <c r="N15" s="67" t="inlineStr">
        <is>
          <t>kW</t>
        </is>
      </c>
      <c r="O15" s="8">
        <f>K15*TAN(ACOS(F15))</f>
        <v/>
      </c>
      <c r="P15" s="9" t="inlineStr">
        <is>
          <t>kVar</t>
        </is>
      </c>
      <c r="Q15" s="8">
        <f>(K15*TAN(ACOS(F15)))*D15*H15*I7*J15</f>
        <v/>
      </c>
      <c r="R15" s="9" t="inlineStr">
        <is>
          <t>kVar</t>
        </is>
      </c>
      <c r="S15" s="8">
        <f>K15/F15</f>
        <v/>
      </c>
      <c r="T15" s="9" t="inlineStr">
        <is>
          <t>kVA</t>
        </is>
      </c>
      <c r="U15" s="8">
        <f>S15*D15*H15*I7*J15</f>
        <v/>
      </c>
      <c r="V15" s="9" t="inlineStr">
        <is>
          <t>kVA</t>
        </is>
      </c>
      <c r="W15" s="15" t="n"/>
      <c r="X15" s="42" t="inlineStr">
        <is>
          <t>Nombre de Circuits</t>
        </is>
      </c>
      <c r="Y15" s="78" t="n"/>
      <c r="Z15" s="43" t="n">
        <v>14</v>
      </c>
    </row>
    <row r="16">
      <c r="A16" s="33" t="inlineStr">
        <is>
          <t>Prise Schuko avec Obturateur - EFAPEL 3700 ref.37132C</t>
        </is>
      </c>
      <c r="B16" s="79" t="n"/>
      <c r="C16" s="9" t="n"/>
      <c r="D16" s="21" t="n">
        <v>7</v>
      </c>
      <c r="E16" s="9" t="n"/>
      <c r="F16" s="21" t="n">
        <v>0.9</v>
      </c>
      <c r="G16" s="9" t="n"/>
      <c r="H16" s="18">
        <f>0.1+(0.9/D16)</f>
        <v/>
      </c>
      <c r="I16" s="83" t="n"/>
      <c r="J16" s="22" t="n">
        <v>1</v>
      </c>
      <c r="K16" s="11" t="n">
        <v>3.68</v>
      </c>
      <c r="L16" s="67" t="inlineStr">
        <is>
          <t>kW</t>
        </is>
      </c>
      <c r="M16" s="11">
        <f>K16*D16*H16*I7*J16</f>
        <v/>
      </c>
      <c r="N16" s="67" t="inlineStr">
        <is>
          <t>kW</t>
        </is>
      </c>
      <c r="O16" s="8">
        <f>K16*TAN(ACOS(F16))</f>
        <v/>
      </c>
      <c r="P16" s="9" t="inlineStr">
        <is>
          <t>kVar</t>
        </is>
      </c>
      <c r="Q16" s="8">
        <f>(K16*TAN(ACOS(F16)))*D16*H16*I7*J16</f>
        <v/>
      </c>
      <c r="R16" s="9" t="inlineStr">
        <is>
          <t>kVar</t>
        </is>
      </c>
      <c r="S16" s="8">
        <f>K16/F16</f>
        <v/>
      </c>
      <c r="T16" s="9" t="inlineStr">
        <is>
          <t>kVA</t>
        </is>
      </c>
      <c r="U16" s="8">
        <f>S16*D16*H16*I7*J16</f>
        <v/>
      </c>
      <c r="V16" s="9" t="inlineStr">
        <is>
          <t>kVA</t>
        </is>
      </c>
      <c r="W16" s="15" t="n"/>
      <c r="X16" s="80" t="n"/>
      <c r="Y16" s="82" t="n"/>
      <c r="Z16" s="88" t="n"/>
    </row>
    <row r="17" ht="15" customHeight="1" s="13">
      <c r="A17" s="33" t="inlineStr">
        <is>
          <t>Module AVAC Vulcano MS-R32 10,6UE</t>
        </is>
      </c>
      <c r="B17" s="79" t="n"/>
      <c r="C17" s="9" t="n"/>
      <c r="D17" s="21" t="n">
        <v>1</v>
      </c>
      <c r="E17" s="9" t="n"/>
      <c r="F17" s="21" t="n">
        <v>1</v>
      </c>
      <c r="G17" s="9" t="n"/>
      <c r="H17" s="22" t="n">
        <v>1</v>
      </c>
      <c r="I17" s="88" t="n"/>
      <c r="J17" s="22" t="n">
        <v>0.8</v>
      </c>
      <c r="K17" s="11" t="n">
        <v>14.1</v>
      </c>
      <c r="L17" s="67" t="inlineStr">
        <is>
          <t>kW</t>
        </is>
      </c>
      <c r="M17" s="11">
        <f>K17*D17*H17*I7*J17</f>
        <v/>
      </c>
      <c r="N17" s="67" t="inlineStr">
        <is>
          <t>kW</t>
        </is>
      </c>
      <c r="O17" s="8">
        <f>K17*TAN(ACOS(F17))</f>
        <v/>
      </c>
      <c r="P17" s="9" t="inlineStr">
        <is>
          <t>kVar</t>
        </is>
      </c>
      <c r="Q17" s="8">
        <f>(K17*TAN(ACOS(F17)))*D17*H17*I7*J17</f>
        <v/>
      </c>
      <c r="R17" s="9" t="inlineStr">
        <is>
          <t>kVar</t>
        </is>
      </c>
      <c r="S17" s="8">
        <f>K17/F17</f>
        <v/>
      </c>
      <c r="T17" s="9" t="inlineStr">
        <is>
          <t>kVA</t>
        </is>
      </c>
      <c r="U17" s="8">
        <f>S17*D17*H17*I7*J17</f>
        <v/>
      </c>
      <c r="V17" s="9" t="inlineStr">
        <is>
          <t>kVA</t>
        </is>
      </c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S22" s="20" t="n"/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S23" s="20" t="n"/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</sheetData>
  <mergeCells count="72">
    <mergeCell ref="Y24:Y25"/>
    <mergeCell ref="A1:Z4"/>
    <mergeCell ref="F11:G11"/>
    <mergeCell ref="Y9:Y10"/>
    <mergeCell ref="Z17:Z19"/>
    <mergeCell ref="D10:E10"/>
    <mergeCell ref="F16:G16"/>
    <mergeCell ref="F10:G10"/>
    <mergeCell ref="O6:P6"/>
    <mergeCell ref="U6:V6"/>
    <mergeCell ref="I7:I17"/>
    <mergeCell ref="X7:X8"/>
    <mergeCell ref="Z7:Z8"/>
    <mergeCell ref="S5:V5"/>
    <mergeCell ref="A12:C12"/>
    <mergeCell ref="Y11:Y12"/>
    <mergeCell ref="Y20:Y21"/>
    <mergeCell ref="F7:G7"/>
    <mergeCell ref="Z22:Z23"/>
    <mergeCell ref="X24:X25"/>
    <mergeCell ref="X17:Y19"/>
    <mergeCell ref="F12:G12"/>
    <mergeCell ref="X14:Z14"/>
    <mergeCell ref="F15:G15"/>
    <mergeCell ref="D13:E13"/>
    <mergeCell ref="A14:C14"/>
    <mergeCell ref="D11:E11"/>
    <mergeCell ref="A8:C8"/>
    <mergeCell ref="Y22:Y23"/>
    <mergeCell ref="A17:C17"/>
    <mergeCell ref="D5:E6"/>
    <mergeCell ref="Y7:Y8"/>
    <mergeCell ref="D17:E17"/>
    <mergeCell ref="X20:X21"/>
    <mergeCell ref="F17:G17"/>
    <mergeCell ref="K5:N5"/>
    <mergeCell ref="Z20:Z21"/>
    <mergeCell ref="F8:G8"/>
    <mergeCell ref="A10:C10"/>
    <mergeCell ref="D16:E16"/>
    <mergeCell ref="A13:C13"/>
    <mergeCell ref="D7:E7"/>
    <mergeCell ref="M6:N6"/>
    <mergeCell ref="H5:J5"/>
    <mergeCell ref="Q6:R6"/>
    <mergeCell ref="X22:X23"/>
    <mergeCell ref="S6:T6"/>
    <mergeCell ref="X9:X10"/>
    <mergeCell ref="A9:C9"/>
    <mergeCell ref="O5:R5"/>
    <mergeCell ref="F13:G13"/>
    <mergeCell ref="A15:C15"/>
    <mergeCell ref="D9:E9"/>
    <mergeCell ref="F9:G9"/>
    <mergeCell ref="D12:E12"/>
    <mergeCell ref="D8:E8"/>
    <mergeCell ref="Z15:Z16"/>
    <mergeCell ref="A11:C11"/>
    <mergeCell ref="Z9:Z10"/>
    <mergeCell ref="D15:E15"/>
    <mergeCell ref="A5:C6"/>
    <mergeCell ref="X5:Z6"/>
    <mergeCell ref="Z24:Z25"/>
    <mergeCell ref="F5:G6"/>
    <mergeCell ref="D14:E14"/>
    <mergeCell ref="X15:Y16"/>
    <mergeCell ref="F14:G14"/>
    <mergeCell ref="X11:X12"/>
    <mergeCell ref="K6:L6"/>
    <mergeCell ref="A7:C7"/>
    <mergeCell ref="Z11:Z12"/>
    <mergeCell ref="A16:C16"/>
  </mergeCells>
  <pageMargins left="0.7" right="0.7" top="0.75" bottom="0.75" header="0.3" footer="0.3"/>
  <pageSetup orientation="landscape" paperSize="9" scale="56"/>
</worksheet>
</file>

<file path=xl/worksheets/sheet6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5"/>
  <sheetViews>
    <sheetView topLeftCell="A4" zoomScale="70" zoomScaleNormal="70" workbookViewId="0">
      <selection activeCell="L39" sqref="L39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6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Luminaire LEDVANCE ref.4058075079274</t>
        </is>
      </c>
      <c r="B7" s="79" t="n"/>
      <c r="C7" s="9" t="n"/>
      <c r="D7" s="21" t="n">
        <v>6</v>
      </c>
      <c r="E7" s="9" t="n"/>
      <c r="F7" s="21" t="n">
        <v>0.95</v>
      </c>
      <c r="G7" s="9" t="n"/>
      <c r="H7" s="5" t="n">
        <v>1</v>
      </c>
      <c r="I7" s="22" t="n">
        <v>1</v>
      </c>
      <c r="J7" s="22" t="n">
        <v>1</v>
      </c>
      <c r="K7" s="11">
        <f>(12/0.9)/1000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SUM(M7:M15)</f>
        <v/>
      </c>
      <c r="Z7" s="34" t="inlineStr">
        <is>
          <t>kW</t>
        </is>
      </c>
    </row>
    <row r="8">
      <c r="A8" s="33" t="inlineStr">
        <is>
          <t>Luminaire LEDVANCE ref.4058075114005</t>
        </is>
      </c>
      <c r="B8" s="79" t="n"/>
      <c r="C8" s="9" t="n"/>
      <c r="D8" s="21" t="n">
        <v>8</v>
      </c>
      <c r="E8" s="9" t="n"/>
      <c r="F8" s="21" t="n">
        <v>0.95</v>
      </c>
      <c r="G8" s="9" t="n"/>
      <c r="H8" s="22" t="n">
        <v>1</v>
      </c>
      <c r="I8" s="83" t="n"/>
      <c r="J8" s="22" t="n">
        <v>1</v>
      </c>
      <c r="K8" s="11">
        <f>(30/0.9)/1000</f>
        <v/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>
        <f>K8/F8</f>
        <v/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Luminaire LEDVANCE ref.4058075364561</t>
        </is>
      </c>
      <c r="B9" s="79" t="n"/>
      <c r="C9" s="9" t="n"/>
      <c r="D9" s="21" t="n">
        <v>2</v>
      </c>
      <c r="E9" s="9" t="n"/>
      <c r="F9" s="21" t="n">
        <v>0.95</v>
      </c>
      <c r="G9" s="9" t="n"/>
      <c r="H9" s="22" t="n">
        <v>1</v>
      </c>
      <c r="I9" s="83" t="n"/>
      <c r="J9" s="22" t="n">
        <v>1</v>
      </c>
      <c r="K9" s="11">
        <f>(43/0.9)/1000</f>
        <v/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>
        <f>K9/F9</f>
        <v/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SUM(Q7:Q15)</f>
        <v/>
      </c>
      <c r="Z9" s="34" t="inlineStr">
        <is>
          <t>kVar</t>
        </is>
      </c>
    </row>
    <row r="10">
      <c r="A10" s="33" t="inlineStr">
        <is>
          <t>Luminaire LEDVANCE ref.4058075440616</t>
        </is>
      </c>
      <c r="B10" s="79" t="n"/>
      <c r="C10" s="9" t="n"/>
      <c r="D10" s="21" t="n">
        <v>6</v>
      </c>
      <c r="E10" s="9" t="n"/>
      <c r="F10" s="21" t="n">
        <v>0.95</v>
      </c>
      <c r="G10" s="9" t="n"/>
      <c r="H10" s="22" t="n">
        <v>1</v>
      </c>
      <c r="I10" s="83" t="n"/>
      <c r="J10" s="22" t="n">
        <v>1</v>
      </c>
      <c r="K10" s="11">
        <f>(36/0.9)/1000</f>
        <v/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>
        <f>K10/F10</f>
        <v/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Luminaire LEDVANCE ref.4058075617865</t>
        </is>
      </c>
      <c r="B11" s="79" t="n"/>
      <c r="C11" s="9" t="n"/>
      <c r="D11" s="21" t="n">
        <v>8</v>
      </c>
      <c r="E11" s="9" t="n"/>
      <c r="F11" s="21" t="n">
        <v>0.95</v>
      </c>
      <c r="G11" s="9" t="n"/>
      <c r="H11" s="22" t="n">
        <v>1</v>
      </c>
      <c r="I11" s="83" t="n"/>
      <c r="J11" s="22" t="n">
        <v>1</v>
      </c>
      <c r="K11" s="11">
        <f>(13/0.9)/1000</f>
        <v/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>
        <f>K11/F11</f>
        <v/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SUM(U7:U15)</f>
        <v/>
      </c>
      <c r="Z11" s="87" t="inlineStr">
        <is>
          <t>kVA</t>
        </is>
      </c>
    </row>
    <row r="12">
      <c r="A12" s="33" t="inlineStr">
        <is>
          <t>Luminaire LEDVANCE ref.4058075618084</t>
        </is>
      </c>
      <c r="B12" s="79" t="n"/>
      <c r="C12" s="9" t="n"/>
      <c r="D12" s="21" t="n">
        <v>28</v>
      </c>
      <c r="E12" s="9" t="n"/>
      <c r="F12" s="21" t="n">
        <v>0.95</v>
      </c>
      <c r="G12" s="9" t="n"/>
      <c r="H12" s="22" t="n">
        <v>1</v>
      </c>
      <c r="I12" s="83" t="n"/>
      <c r="J12" s="22" t="n">
        <v>1</v>
      </c>
      <c r="K12" s="11">
        <f>(24/0.9)/1000</f>
        <v/>
      </c>
      <c r="L12" s="67" t="inlineStr">
        <is>
          <t>kW</t>
        </is>
      </c>
      <c r="M12" s="11">
        <f>K12*D12*H12*I7*J12</f>
        <v/>
      </c>
      <c r="N12" s="67" t="inlineStr">
        <is>
          <t>kW</t>
        </is>
      </c>
      <c r="O12" s="8">
        <f>K12*TAN(ACOS(F12))</f>
        <v/>
      </c>
      <c r="P12" s="9" t="inlineStr">
        <is>
          <t>kVar</t>
        </is>
      </c>
      <c r="Q12" s="8">
        <f>(K12*TAN(ACOS(F12)))*D12*H12*I7*J12</f>
        <v/>
      </c>
      <c r="R12" s="9" t="inlineStr">
        <is>
          <t>kVar</t>
        </is>
      </c>
      <c r="S12" s="8">
        <f>K12/F12</f>
        <v/>
      </c>
      <c r="T12" s="9" t="inlineStr">
        <is>
          <t>kVA</t>
        </is>
      </c>
      <c r="U12" s="8">
        <f>S12*D12*H12*I7*J12</f>
        <v/>
      </c>
      <c r="V12" s="9" t="inlineStr">
        <is>
          <t>kVA</t>
        </is>
      </c>
      <c r="W12" s="15" t="n"/>
      <c r="X12" s="80" t="n"/>
      <c r="Y12" s="80" t="n"/>
      <c r="Z12" s="82" t="n"/>
    </row>
    <row r="13">
      <c r="A13" s="33" t="inlineStr">
        <is>
          <t>Prises Monophasées - Legrand_ Série Mosaic - Prise 3x2P+T à alvéoles inclinés 45º-connexion automatique - noir mat</t>
        </is>
      </c>
      <c r="B13" s="79" t="n"/>
      <c r="C13" s="9" t="n"/>
      <c r="D13" s="21" t="n">
        <v>12</v>
      </c>
      <c r="E13" s="9" t="n"/>
      <c r="F13" s="21" t="n">
        <v>0.9</v>
      </c>
      <c r="G13" s="9" t="n"/>
      <c r="H13" s="18">
        <f>0.1+(0.9/D13)</f>
        <v/>
      </c>
      <c r="I13" s="83" t="n"/>
      <c r="J13" s="22" t="n">
        <v>1</v>
      </c>
      <c r="K13" s="11" t="n">
        <v>3.68</v>
      </c>
      <c r="L13" s="67" t="inlineStr">
        <is>
          <t>kW</t>
        </is>
      </c>
      <c r="M13" s="11">
        <f>K13*D13*H13*I7*J13</f>
        <v/>
      </c>
      <c r="N13" s="67" t="inlineStr">
        <is>
          <t>kW</t>
        </is>
      </c>
      <c r="O13" s="8">
        <f>K13*TAN(ACOS(F13))</f>
        <v/>
      </c>
      <c r="P13" s="9" t="inlineStr">
        <is>
          <t>kVar</t>
        </is>
      </c>
      <c r="Q13" s="8">
        <f>(K13*TAN(ACOS(F13)))*D13*H13*I7*J13</f>
        <v/>
      </c>
      <c r="R13" s="9" t="inlineStr">
        <is>
          <t>kVar</t>
        </is>
      </c>
      <c r="S13" s="8">
        <f>K13/F13</f>
        <v/>
      </c>
      <c r="T13" s="9" t="inlineStr">
        <is>
          <t>kVA</t>
        </is>
      </c>
      <c r="U13" s="8">
        <f>S13*D13*H13*I7*J13</f>
        <v/>
      </c>
      <c r="V13" s="9" t="inlineStr">
        <is>
          <t>kVA</t>
        </is>
      </c>
      <c r="W13" s="15" t="n"/>
      <c r="X13" s="1" t="n"/>
      <c r="Y13" s="1" t="n"/>
      <c r="Z13" s="17" t="n"/>
    </row>
    <row r="14">
      <c r="A14" s="33" t="inlineStr">
        <is>
          <t>Prise Schuko avec Obturateur - EFAPEL 3700 ref.37132C</t>
        </is>
      </c>
      <c r="B14" s="79" t="n"/>
      <c r="C14" s="9" t="n"/>
      <c r="D14" s="21" t="n">
        <v>13</v>
      </c>
      <c r="E14" s="9" t="n"/>
      <c r="F14" s="21" t="n">
        <v>0.9</v>
      </c>
      <c r="G14" s="9" t="n"/>
      <c r="H14" s="18">
        <f>0.1+(0.9/D14)</f>
        <v/>
      </c>
      <c r="I14" s="83" t="n"/>
      <c r="J14" s="22" t="n">
        <v>1</v>
      </c>
      <c r="K14" s="11" t="n">
        <v>3.68</v>
      </c>
      <c r="L14" s="67" t="inlineStr">
        <is>
          <t>kW</t>
        </is>
      </c>
      <c r="M14" s="11">
        <f>K14*D14*H14*I7*J14</f>
        <v/>
      </c>
      <c r="N14" s="67" t="inlineStr">
        <is>
          <t>kW</t>
        </is>
      </c>
      <c r="O14" s="8">
        <f>K14*TAN(ACOS(F14))</f>
        <v/>
      </c>
      <c r="P14" s="9" t="inlineStr">
        <is>
          <t>kVar</t>
        </is>
      </c>
      <c r="Q14" s="8">
        <f>(K14*TAN(ACOS(F14)))*D14*H14*I7*J14</f>
        <v/>
      </c>
      <c r="R14" s="9" t="inlineStr">
        <is>
          <t>kVar</t>
        </is>
      </c>
      <c r="S14" s="8">
        <f>K14/F14</f>
        <v/>
      </c>
      <c r="T14" s="9" t="inlineStr">
        <is>
          <t>kVA</t>
        </is>
      </c>
      <c r="U14" s="8">
        <f>S14*D14*H14*I7*J14</f>
        <v/>
      </c>
      <c r="V14" s="9" t="inlineStr">
        <is>
          <t>kVA</t>
        </is>
      </c>
      <c r="W14" s="15" t="n"/>
      <c r="X14" s="44" t="inlineStr">
        <is>
          <t>Puissance du QP6</t>
        </is>
      </c>
      <c r="Y14" s="79" t="n"/>
      <c r="Z14" s="9" t="n"/>
    </row>
    <row r="15">
      <c r="A15" s="33" t="inlineStr">
        <is>
          <t>Module AVAC Vulcano MS-R32 10,6UE</t>
        </is>
      </c>
      <c r="B15" s="79" t="n"/>
      <c r="C15" s="9" t="n"/>
      <c r="D15" s="21" t="n">
        <v>1</v>
      </c>
      <c r="E15" s="9" t="n"/>
      <c r="F15" s="21" t="n">
        <v>1</v>
      </c>
      <c r="G15" s="9" t="n"/>
      <c r="H15" s="22" t="n">
        <v>1</v>
      </c>
      <c r="I15" s="88" t="n"/>
      <c r="J15" s="22" t="n">
        <v>0.8</v>
      </c>
      <c r="K15" s="11" t="n">
        <v>14.1</v>
      </c>
      <c r="L15" s="67" t="inlineStr">
        <is>
          <t>kW</t>
        </is>
      </c>
      <c r="M15" s="11">
        <f>K15*D15*H15*I7*J15</f>
        <v/>
      </c>
      <c r="N15" s="67" t="inlineStr">
        <is>
          <t>kW</t>
        </is>
      </c>
      <c r="O15" s="8">
        <f>K15*TAN(ACOS(F15))</f>
        <v/>
      </c>
      <c r="P15" s="9" t="inlineStr">
        <is>
          <t>kVar</t>
        </is>
      </c>
      <c r="Q15" s="8">
        <f>(K15*TAN(ACOS(F15)))*D15*H15*I7*J15</f>
        <v/>
      </c>
      <c r="R15" s="9" t="inlineStr">
        <is>
          <t>kVar</t>
        </is>
      </c>
      <c r="S15" s="8">
        <f>K15/F15</f>
        <v/>
      </c>
      <c r="T15" s="9" t="inlineStr">
        <is>
          <t>kVA</t>
        </is>
      </c>
      <c r="U15" s="8">
        <f>S15*D15*H15*I7*J15</f>
        <v/>
      </c>
      <c r="V15" s="9" t="inlineStr">
        <is>
          <t>kVA</t>
        </is>
      </c>
      <c r="W15" s="15" t="n"/>
      <c r="X15" s="42" t="inlineStr">
        <is>
          <t>Nombre de Circuits</t>
        </is>
      </c>
      <c r="Y15" s="78" t="n"/>
      <c r="Z15" s="43" t="n">
        <v>10</v>
      </c>
    </row>
    <row r="16">
      <c r="S16" s="20" t="n"/>
      <c r="W16" s="15" t="n"/>
      <c r="X16" s="80" t="n"/>
      <c r="Y16" s="82" t="n"/>
      <c r="Z16" s="88" t="n"/>
    </row>
    <row r="17" ht="15" customHeight="1" s="13">
      <c r="S17" s="20" t="n"/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</sheetData>
  <mergeCells count="66">
    <mergeCell ref="Y24:Y25"/>
    <mergeCell ref="A1:Z4"/>
    <mergeCell ref="F11:G11"/>
    <mergeCell ref="D10:E10"/>
    <mergeCell ref="Z17:Z19"/>
    <mergeCell ref="Y9:Y10"/>
    <mergeCell ref="F10:G10"/>
    <mergeCell ref="O6:P6"/>
    <mergeCell ref="U6:V6"/>
    <mergeCell ref="X7:X8"/>
    <mergeCell ref="Z7:Z8"/>
    <mergeCell ref="S5:V5"/>
    <mergeCell ref="A12:C12"/>
    <mergeCell ref="Y11:Y12"/>
    <mergeCell ref="Y20:Y21"/>
    <mergeCell ref="F7:G7"/>
    <mergeCell ref="Z22:Z23"/>
    <mergeCell ref="X24:X25"/>
    <mergeCell ref="X17:Y19"/>
    <mergeCell ref="F12:G12"/>
    <mergeCell ref="X14:Z14"/>
    <mergeCell ref="F15:G15"/>
    <mergeCell ref="D13:E13"/>
    <mergeCell ref="A14:C14"/>
    <mergeCell ref="D11:E11"/>
    <mergeCell ref="A8:C8"/>
    <mergeCell ref="Y22:Y23"/>
    <mergeCell ref="D5:E6"/>
    <mergeCell ref="Y7:Y8"/>
    <mergeCell ref="X20:X21"/>
    <mergeCell ref="K5:N5"/>
    <mergeCell ref="Z20:Z21"/>
    <mergeCell ref="F8:G8"/>
    <mergeCell ref="A10:C10"/>
    <mergeCell ref="A13:C13"/>
    <mergeCell ref="I7:I15"/>
    <mergeCell ref="D7:E7"/>
    <mergeCell ref="M6:N6"/>
    <mergeCell ref="H5:J5"/>
    <mergeCell ref="Q6:R6"/>
    <mergeCell ref="X22:X23"/>
    <mergeCell ref="S6:T6"/>
    <mergeCell ref="A9:C9"/>
    <mergeCell ref="X9:X10"/>
    <mergeCell ref="O5:R5"/>
    <mergeCell ref="F13:G13"/>
    <mergeCell ref="A15:C15"/>
    <mergeCell ref="D9:E9"/>
    <mergeCell ref="F9:G9"/>
    <mergeCell ref="D12:E12"/>
    <mergeCell ref="D8:E8"/>
    <mergeCell ref="Z15:Z16"/>
    <mergeCell ref="A11:C11"/>
    <mergeCell ref="Z9:Z10"/>
    <mergeCell ref="D15:E15"/>
    <mergeCell ref="A5:C6"/>
    <mergeCell ref="X5:Z6"/>
    <mergeCell ref="Z24:Z25"/>
    <mergeCell ref="F5:G6"/>
    <mergeCell ref="D14:E14"/>
    <mergeCell ref="X15:Y16"/>
    <mergeCell ref="F14:G14"/>
    <mergeCell ref="X11:X12"/>
    <mergeCell ref="K6:L6"/>
    <mergeCell ref="A7:C7"/>
    <mergeCell ref="Z11:Z12"/>
  </mergeCells>
  <pageMargins left="0.7" right="0.7" top="0.75" bottom="0.75" header="0.3" footer="0.3"/>
  <pageSetup orientation="landscape" paperSize="9" scale="56"/>
</worksheet>
</file>

<file path=xl/worksheets/sheet7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AA27"/>
  <sheetViews>
    <sheetView topLeftCell="A7" zoomScale="70" zoomScaleNormal="70" workbookViewId="0">
      <selection activeCell="L39" sqref="L39"/>
    </sheetView>
  </sheetViews>
  <sheetFormatPr baseColWidth="8" defaultRowHeight="15"/>
  <cols>
    <col width="4.140625" customWidth="1" style="13" min="23" max="23"/>
    <col width="10.140625" customWidth="1" style="13" min="24" max="24"/>
    <col hidden="1" style="13" min="27" max="27"/>
  </cols>
  <sheetData>
    <row r="1" ht="15" customHeight="1" s="13">
      <c r="A1" s="47" t="inlineStr">
        <is>
          <t>Tableau de Puissances - Tableau Partiel 7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Luminaire 3F Filippi S.p.A ref.21287</t>
        </is>
      </c>
      <c r="B7" s="79" t="n"/>
      <c r="C7" s="9" t="n"/>
      <c r="D7" s="21" t="n">
        <v>2</v>
      </c>
      <c r="E7" s="9" t="n"/>
      <c r="F7" s="21" t="n">
        <v>0.95</v>
      </c>
      <c r="G7" s="9" t="n"/>
      <c r="H7" s="5" t="n">
        <v>1</v>
      </c>
      <c r="I7" s="22" t="n">
        <v>1</v>
      </c>
      <c r="J7" s="22" t="n">
        <v>1</v>
      </c>
      <c r="K7" s="11">
        <f>(40/0.9)/1000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SUM(M7:M17)</f>
        <v/>
      </c>
      <c r="Z7" s="34" t="inlineStr">
        <is>
          <t>kW</t>
        </is>
      </c>
    </row>
    <row r="8">
      <c r="A8" s="33" t="inlineStr">
        <is>
          <t>Luminaire ERCO ref.32516000</t>
        </is>
      </c>
      <c r="B8" s="79" t="n"/>
      <c r="C8" s="9" t="n"/>
      <c r="D8" s="21" t="n">
        <v>1</v>
      </c>
      <c r="E8" s="9" t="n"/>
      <c r="F8" s="21" t="n">
        <v>0.95</v>
      </c>
      <c r="G8" s="9" t="n"/>
      <c r="H8" s="22" t="n">
        <v>1</v>
      </c>
      <c r="I8" s="83" t="n"/>
      <c r="J8" s="22" t="n">
        <v>1</v>
      </c>
      <c r="K8" s="11">
        <f>(26/0.9)/1000</f>
        <v/>
      </c>
      <c r="L8" s="67" t="inlineStr">
        <is>
          <t>kW</t>
        </is>
      </c>
      <c r="M8" s="11">
        <f>K8*D8*H8*I7*J8</f>
        <v/>
      </c>
      <c r="N8" s="67" t="inlineStr">
        <is>
          <t>kW</t>
        </is>
      </c>
      <c r="O8" s="8">
        <f>K8*TAN(ACOS(F8))</f>
        <v/>
      </c>
      <c r="P8" s="9" t="inlineStr">
        <is>
          <t>kVar</t>
        </is>
      </c>
      <c r="Q8" s="8">
        <f>(K8*TAN(ACOS(F8)))*D8*H8*I7*J8</f>
        <v/>
      </c>
      <c r="R8" s="9" t="inlineStr">
        <is>
          <t>kVar</t>
        </is>
      </c>
      <c r="S8" s="8">
        <f>K8/F8</f>
        <v/>
      </c>
      <c r="T8" s="9" t="inlineStr">
        <is>
          <t>kVA</t>
        </is>
      </c>
      <c r="U8" s="8">
        <f>S8*D8*H8*I7*J8</f>
        <v/>
      </c>
      <c r="V8" s="9" t="inlineStr">
        <is>
          <t>kVA</t>
        </is>
      </c>
      <c r="W8" s="15" t="n"/>
      <c r="X8" s="80" t="n"/>
      <c r="Y8" s="84" t="n"/>
      <c r="Z8" s="85" t="n"/>
    </row>
    <row r="9">
      <c r="A9" s="33" t="inlineStr">
        <is>
          <t>Luminaire ERCO ref.87685000</t>
        </is>
      </c>
      <c r="B9" s="79" t="n"/>
      <c r="C9" s="9" t="n"/>
      <c r="D9" s="21" t="n">
        <v>3</v>
      </c>
      <c r="E9" s="9" t="n"/>
      <c r="F9" s="21" t="n">
        <v>0.95</v>
      </c>
      <c r="G9" s="9" t="n"/>
      <c r="H9" s="22" t="n">
        <v>1</v>
      </c>
      <c r="I9" s="83" t="n"/>
      <c r="J9" s="22" t="n">
        <v>1</v>
      </c>
      <c r="K9" s="11">
        <f>(11/0.9)/1000</f>
        <v/>
      </c>
      <c r="L9" s="67" t="inlineStr">
        <is>
          <t>kW</t>
        </is>
      </c>
      <c r="M9" s="11">
        <f>K9*D9*H9*I7*J9</f>
        <v/>
      </c>
      <c r="N9" s="67" t="inlineStr">
        <is>
          <t>kW</t>
        </is>
      </c>
      <c r="O9" s="8">
        <f>K9*TAN(ACOS(F9))</f>
        <v/>
      </c>
      <c r="P9" s="9" t="inlineStr">
        <is>
          <t>kVar</t>
        </is>
      </c>
      <c r="Q9" s="8">
        <f>(K9*TAN(ACOS(F9)))*D9*H9*I7*J9</f>
        <v/>
      </c>
      <c r="R9" s="9" t="inlineStr">
        <is>
          <t>kVar</t>
        </is>
      </c>
      <c r="S9" s="8">
        <f>K9/F9</f>
        <v/>
      </c>
      <c r="T9" s="9" t="inlineStr">
        <is>
          <t>kVA</t>
        </is>
      </c>
      <c r="U9" s="8">
        <f>S9*D9*H9*I7*J9</f>
        <v/>
      </c>
      <c r="V9" s="9" t="inlineStr">
        <is>
          <t>kVA</t>
        </is>
      </c>
      <c r="W9" s="15" t="n"/>
      <c r="X9" s="32" t="inlineStr">
        <is>
          <t>Puissance Réactive</t>
        </is>
      </c>
      <c r="Y9" s="36">
        <f>SUM(Q7:Q17)</f>
        <v/>
      </c>
      <c r="Z9" s="34" t="inlineStr">
        <is>
          <t>kVar</t>
        </is>
      </c>
    </row>
    <row r="10">
      <c r="A10" s="33" t="inlineStr">
        <is>
          <t>Luminaire LEDVANCE ref.4058075062207</t>
        </is>
      </c>
      <c r="B10" s="79" t="n"/>
      <c r="C10" s="9" t="n"/>
      <c r="D10" s="21" t="n">
        <v>2</v>
      </c>
      <c r="E10" s="9" t="n"/>
      <c r="F10" s="21" t="n">
        <v>0.95</v>
      </c>
      <c r="G10" s="9" t="n"/>
      <c r="H10" s="22" t="n">
        <v>1</v>
      </c>
      <c r="I10" s="83" t="n"/>
      <c r="J10" s="22" t="n">
        <v>1</v>
      </c>
      <c r="K10" s="11">
        <f>(24/0.9)/1000</f>
        <v/>
      </c>
      <c r="L10" s="67" t="inlineStr">
        <is>
          <t>kW</t>
        </is>
      </c>
      <c r="M10" s="11">
        <f>K10*D10*H10*I7*J10</f>
        <v/>
      </c>
      <c r="N10" s="67" t="inlineStr">
        <is>
          <t>kW</t>
        </is>
      </c>
      <c r="O10" s="8">
        <f>K10*TAN(ACOS(F10))</f>
        <v/>
      </c>
      <c r="P10" s="9" t="inlineStr">
        <is>
          <t>kVar</t>
        </is>
      </c>
      <c r="Q10" s="8">
        <f>(K10*TAN(ACOS(F10)))*D10*H10*I7*J10</f>
        <v/>
      </c>
      <c r="R10" s="9" t="inlineStr">
        <is>
          <t>kVar</t>
        </is>
      </c>
      <c r="S10" s="8">
        <f>K10/F10</f>
        <v/>
      </c>
      <c r="T10" s="9" t="inlineStr">
        <is>
          <t>kVA</t>
        </is>
      </c>
      <c r="U10" s="8">
        <f>S10*D10*H10*I7*J10</f>
        <v/>
      </c>
      <c r="V10" s="9" t="inlineStr">
        <is>
          <t>kVA</t>
        </is>
      </c>
      <c r="W10" s="15" t="n"/>
      <c r="X10" s="80" t="n"/>
      <c r="Y10" s="84" t="n"/>
      <c r="Z10" s="85" t="n"/>
    </row>
    <row r="11">
      <c r="A11" s="33" t="inlineStr">
        <is>
          <t>Luminaire LEDVANCE ref.4058075064003</t>
        </is>
      </c>
      <c r="B11" s="79" t="n"/>
      <c r="C11" s="9" t="n"/>
      <c r="D11" s="21" t="n">
        <v>36</v>
      </c>
      <c r="E11" s="9" t="n"/>
      <c r="F11" s="21" t="n">
        <v>0.95</v>
      </c>
      <c r="G11" s="9" t="n"/>
      <c r="H11" s="22" t="n">
        <v>1</v>
      </c>
      <c r="I11" s="83" t="n"/>
      <c r="J11" s="22" t="n">
        <v>1</v>
      </c>
      <c r="K11" s="11">
        <f>(22/0.9)/1000</f>
        <v/>
      </c>
      <c r="L11" s="67" t="inlineStr">
        <is>
          <t>kW</t>
        </is>
      </c>
      <c r="M11" s="11">
        <f>K11*D11*H11*I7*J11</f>
        <v/>
      </c>
      <c r="N11" s="67" t="inlineStr">
        <is>
          <t>kW</t>
        </is>
      </c>
      <c r="O11" s="8">
        <f>K11*TAN(ACOS(F11))</f>
        <v/>
      </c>
      <c r="P11" s="9" t="inlineStr">
        <is>
          <t>kVar</t>
        </is>
      </c>
      <c r="Q11" s="8">
        <f>(K11*TAN(ACOS(F11)))*D11*H11*I7*J11</f>
        <v/>
      </c>
      <c r="R11" s="9" t="inlineStr">
        <is>
          <t>kVar</t>
        </is>
      </c>
      <c r="S11" s="8">
        <f>K11/F11</f>
        <v/>
      </c>
      <c r="T11" s="9" t="inlineStr">
        <is>
          <t>kVA</t>
        </is>
      </c>
      <c r="U11" s="8">
        <f>S11*D11*H11*I7*J11</f>
        <v/>
      </c>
      <c r="V11" s="9" t="inlineStr">
        <is>
          <t>kVA</t>
        </is>
      </c>
      <c r="W11" s="15" t="n"/>
      <c r="X11" s="32" t="inlineStr">
        <is>
          <t>Puissance Apparente</t>
        </is>
      </c>
      <c r="Y11" s="86">
        <f>SUM(U7:U17)</f>
        <v/>
      </c>
      <c r="Z11" s="87" t="inlineStr">
        <is>
          <t>kVA</t>
        </is>
      </c>
    </row>
    <row r="12">
      <c r="A12" s="33" t="inlineStr">
        <is>
          <t>Luminaire LEDVANCE ref.4058075079274</t>
        </is>
      </c>
      <c r="B12" s="79" t="n"/>
      <c r="C12" s="9" t="n"/>
      <c r="D12" s="21" t="n">
        <v>10</v>
      </c>
      <c r="E12" s="9" t="n"/>
      <c r="F12" s="21" t="n">
        <v>0.95</v>
      </c>
      <c r="G12" s="9" t="n"/>
      <c r="H12" s="22" t="n">
        <v>1</v>
      </c>
      <c r="I12" s="83" t="n"/>
      <c r="J12" s="22" t="n">
        <v>1</v>
      </c>
      <c r="K12" s="11">
        <f>(12/0.9)/1000</f>
        <v/>
      </c>
      <c r="L12" s="67" t="inlineStr">
        <is>
          <t>kW</t>
        </is>
      </c>
      <c r="M12" s="11">
        <f>K12*D12*H12*I7*J12</f>
        <v/>
      </c>
      <c r="N12" s="67" t="inlineStr">
        <is>
          <t>kW</t>
        </is>
      </c>
      <c r="O12" s="8">
        <f>K12*TAN(ACOS(F12))</f>
        <v/>
      </c>
      <c r="P12" s="9" t="inlineStr">
        <is>
          <t>kVar</t>
        </is>
      </c>
      <c r="Q12" s="8">
        <f>(K12*TAN(ACOS(F12)))*D12*H12*I7*J12</f>
        <v/>
      </c>
      <c r="R12" s="9" t="inlineStr">
        <is>
          <t>kVar</t>
        </is>
      </c>
      <c r="S12" s="8">
        <f>K12/F12</f>
        <v/>
      </c>
      <c r="T12" s="9" t="inlineStr">
        <is>
          <t>kVA</t>
        </is>
      </c>
      <c r="U12" s="8">
        <f>S12*D12*H12*I7*J12</f>
        <v/>
      </c>
      <c r="V12" s="9" t="inlineStr">
        <is>
          <t>kVA</t>
        </is>
      </c>
      <c r="W12" s="15" t="n"/>
      <c r="X12" s="80" t="n"/>
      <c r="Y12" s="80" t="n"/>
      <c r="Z12" s="82" t="n"/>
    </row>
    <row r="13">
      <c r="A13" s="33" t="inlineStr">
        <is>
          <t>Luminaire LEDVANCE ref.4058075079335</t>
        </is>
      </c>
      <c r="B13" s="79" t="n"/>
      <c r="C13" s="9" t="n"/>
      <c r="D13" s="21" t="n">
        <v>5</v>
      </c>
      <c r="E13" s="9" t="n"/>
      <c r="F13" s="21" t="n">
        <v>0.95</v>
      </c>
      <c r="G13" s="9" t="n"/>
      <c r="H13" s="22" t="n">
        <v>1</v>
      </c>
      <c r="I13" s="83" t="n"/>
      <c r="J13" s="22" t="n">
        <v>1</v>
      </c>
      <c r="K13" s="11">
        <f>(18/0.9)/1000</f>
        <v/>
      </c>
      <c r="L13" s="67" t="inlineStr">
        <is>
          <t>kW</t>
        </is>
      </c>
      <c r="M13" s="11">
        <f>K13*D13*H13*I7*J13</f>
        <v/>
      </c>
      <c r="N13" s="67" t="inlineStr">
        <is>
          <t>kW</t>
        </is>
      </c>
      <c r="O13" s="8">
        <f>K13*TAN(ACOS(F13))</f>
        <v/>
      </c>
      <c r="P13" s="9" t="inlineStr">
        <is>
          <t>kVar</t>
        </is>
      </c>
      <c r="Q13" s="8">
        <f>(K13*TAN(ACOS(F13)))*D13*H13*I7*J13</f>
        <v/>
      </c>
      <c r="R13" s="9" t="inlineStr">
        <is>
          <t>kVar</t>
        </is>
      </c>
      <c r="S13" s="8">
        <f>K13/F13</f>
        <v/>
      </c>
      <c r="T13" s="9" t="inlineStr">
        <is>
          <t>kVA</t>
        </is>
      </c>
      <c r="U13" s="8">
        <f>S13*D13*H13*I7*J13</f>
        <v/>
      </c>
      <c r="V13" s="9" t="inlineStr">
        <is>
          <t>kVA</t>
        </is>
      </c>
      <c r="W13" s="15" t="n"/>
      <c r="X13" s="1" t="n"/>
      <c r="Y13" s="1" t="n"/>
      <c r="Z13" s="17" t="n"/>
    </row>
    <row r="14">
      <c r="A14" s="33" t="inlineStr">
        <is>
          <t>Luminaire LEDVANCE ref.4099854000201</t>
        </is>
      </c>
      <c r="B14" s="79" t="n"/>
      <c r="C14" s="9" t="n"/>
      <c r="D14" s="21" t="n">
        <v>3</v>
      </c>
      <c r="E14" s="9" t="n"/>
      <c r="F14" s="21" t="n">
        <v>0.95</v>
      </c>
      <c r="G14" s="9" t="n"/>
      <c r="H14" s="22" t="n">
        <v>1</v>
      </c>
      <c r="I14" s="83" t="n"/>
      <c r="J14" s="22" t="n">
        <v>1</v>
      </c>
      <c r="K14" s="11">
        <f>(4/0.9)/1000</f>
        <v/>
      </c>
      <c r="L14" s="67" t="inlineStr">
        <is>
          <t>kW</t>
        </is>
      </c>
      <c r="M14" s="11">
        <f>K14*D14*H14*I7*J14</f>
        <v/>
      </c>
      <c r="N14" s="67" t="inlineStr">
        <is>
          <t>kW</t>
        </is>
      </c>
      <c r="O14" s="8">
        <f>K14*TAN(ACOS(F14))</f>
        <v/>
      </c>
      <c r="P14" s="9" t="inlineStr">
        <is>
          <t>kVar</t>
        </is>
      </c>
      <c r="Q14" s="8">
        <f>(K14*TAN(ACOS(F14)))*D14*H14*I7*J14</f>
        <v/>
      </c>
      <c r="R14" s="9" t="inlineStr">
        <is>
          <t>kVar</t>
        </is>
      </c>
      <c r="S14" s="8">
        <f>K14/F14</f>
        <v/>
      </c>
      <c r="T14" s="9" t="inlineStr">
        <is>
          <t>kVA</t>
        </is>
      </c>
      <c r="U14" s="8">
        <f>S14*D14*H14*I7*J14</f>
        <v/>
      </c>
      <c r="V14" s="9" t="inlineStr">
        <is>
          <t>kVA</t>
        </is>
      </c>
      <c r="W14" s="15" t="n"/>
      <c r="X14" s="44" t="inlineStr">
        <is>
          <t>Puissance du QP7</t>
        </is>
      </c>
      <c r="Y14" s="79" t="n"/>
      <c r="Z14" s="9" t="n"/>
    </row>
    <row r="15">
      <c r="A15" s="33" t="inlineStr">
        <is>
          <t>Prises Monophasées - Legrand_ Série Mosaic - Prise 3x2P+T à alvéoles inclinés 45º-connexion automatique - noir mat</t>
        </is>
      </c>
      <c r="B15" s="79" t="n"/>
      <c r="C15" s="9" t="n"/>
      <c r="D15" s="21" t="n">
        <v>36</v>
      </c>
      <c r="E15" s="9" t="n"/>
      <c r="F15" s="21" t="n">
        <v>0.9</v>
      </c>
      <c r="G15" s="9" t="n"/>
      <c r="H15" s="18">
        <f>0.1+(0.9/D15)</f>
        <v/>
      </c>
      <c r="I15" s="83" t="n"/>
      <c r="J15" s="22" t="n">
        <v>1</v>
      </c>
      <c r="K15" s="11" t="n">
        <v>3.68</v>
      </c>
      <c r="L15" s="67" t="inlineStr">
        <is>
          <t>kW</t>
        </is>
      </c>
      <c r="M15" s="11">
        <f>K15*D15*H15*I7*J15</f>
        <v/>
      </c>
      <c r="N15" s="67" t="inlineStr">
        <is>
          <t>kW</t>
        </is>
      </c>
      <c r="O15" s="8">
        <f>K15*TAN(ACOS(F15))</f>
        <v/>
      </c>
      <c r="P15" s="9" t="inlineStr">
        <is>
          <t>kVar</t>
        </is>
      </c>
      <c r="Q15" s="8">
        <f>(K15*TAN(ACOS(F15)))*D15*H15*I7*J15</f>
        <v/>
      </c>
      <c r="R15" s="9" t="inlineStr">
        <is>
          <t>kVar</t>
        </is>
      </c>
      <c r="S15" s="8">
        <f>K15/F15</f>
        <v/>
      </c>
      <c r="T15" s="9" t="inlineStr">
        <is>
          <t>kVA</t>
        </is>
      </c>
      <c r="U15" s="8">
        <f>S15*D15*H15*I7*J15</f>
        <v/>
      </c>
      <c r="V15" s="9" t="inlineStr">
        <is>
          <t>kVA</t>
        </is>
      </c>
      <c r="W15" s="15" t="n"/>
      <c r="X15" s="42" t="inlineStr">
        <is>
          <t>Nombre de Circuits</t>
        </is>
      </c>
      <c r="Y15" s="78" t="n"/>
      <c r="Z15" s="43" t="n">
        <v>14</v>
      </c>
    </row>
    <row r="16">
      <c r="A16" s="33" t="inlineStr">
        <is>
          <t>Prise Schuko avec Obturateur - EFAPEL 3700 ref.37132C</t>
        </is>
      </c>
      <c r="B16" s="79" t="n"/>
      <c r="C16" s="9" t="n"/>
      <c r="D16" s="21" t="n">
        <v>7</v>
      </c>
      <c r="E16" s="9" t="n"/>
      <c r="F16" s="21" t="n">
        <v>0.9</v>
      </c>
      <c r="G16" s="9" t="n"/>
      <c r="H16" s="18">
        <f>0.1+(0.9/D16)</f>
        <v/>
      </c>
      <c r="I16" s="83" t="n"/>
      <c r="J16" s="22" t="n">
        <v>1</v>
      </c>
      <c r="K16" s="11" t="n">
        <v>3.68</v>
      </c>
      <c r="L16" s="67" t="inlineStr">
        <is>
          <t>kW</t>
        </is>
      </c>
      <c r="M16" s="11">
        <f>K16*D16*H16*I7*J16</f>
        <v/>
      </c>
      <c r="N16" s="67" t="inlineStr">
        <is>
          <t>kW</t>
        </is>
      </c>
      <c r="O16" s="8">
        <f>K16*TAN(ACOS(F16))</f>
        <v/>
      </c>
      <c r="P16" s="9" t="inlineStr">
        <is>
          <t>kVar</t>
        </is>
      </c>
      <c r="Q16" s="8">
        <f>(K16*TAN(ACOS(F16)))*D16*H16*I7*J16</f>
        <v/>
      </c>
      <c r="R16" s="9" t="inlineStr">
        <is>
          <t>kVar</t>
        </is>
      </c>
      <c r="S16" s="8">
        <f>K16/F16</f>
        <v/>
      </c>
      <c r="T16" s="9" t="inlineStr">
        <is>
          <t>kVA</t>
        </is>
      </c>
      <c r="U16" s="8">
        <f>S16*D16*H16*I7*J16</f>
        <v/>
      </c>
      <c r="V16" s="9" t="inlineStr">
        <is>
          <t>kVA</t>
        </is>
      </c>
      <c r="W16" s="15" t="n"/>
      <c r="X16" s="80" t="n"/>
      <c r="Y16" s="82" t="n"/>
      <c r="Z16" s="88" t="n"/>
    </row>
    <row r="17" ht="15" customHeight="1" s="13">
      <c r="A17" s="33" t="inlineStr">
        <is>
          <t>Module AVAC Vulcano MS-R32 10,6UE</t>
        </is>
      </c>
      <c r="B17" s="79" t="n"/>
      <c r="C17" s="9" t="n"/>
      <c r="D17" s="21" t="n">
        <v>1</v>
      </c>
      <c r="E17" s="9" t="n"/>
      <c r="F17" s="21" t="n">
        <v>1</v>
      </c>
      <c r="G17" s="9" t="n"/>
      <c r="H17" s="22" t="n">
        <v>1</v>
      </c>
      <c r="I17" s="88" t="n"/>
      <c r="J17" s="22" t="n">
        <v>0.8</v>
      </c>
      <c r="K17" s="11" t="n">
        <v>14.1</v>
      </c>
      <c r="L17" s="67" t="inlineStr">
        <is>
          <t>kW</t>
        </is>
      </c>
      <c r="M17" s="11">
        <f>K17*D17*H17*I7*J17</f>
        <v/>
      </c>
      <c r="N17" s="67" t="inlineStr">
        <is>
          <t>kW</t>
        </is>
      </c>
      <c r="O17" s="8">
        <f>K17*TAN(ACOS(F17))</f>
        <v/>
      </c>
      <c r="P17" s="9" t="inlineStr">
        <is>
          <t>kVar</t>
        </is>
      </c>
      <c r="Q17" s="8">
        <f>(K17*TAN(ACOS(F17)))*D17*H17*I7*J17</f>
        <v/>
      </c>
      <c r="R17" s="9" t="inlineStr">
        <is>
          <t>kVar</t>
        </is>
      </c>
      <c r="S17" s="8">
        <f>K17/F17</f>
        <v/>
      </c>
      <c r="T17" s="9" t="inlineStr">
        <is>
          <t>kVA</t>
        </is>
      </c>
      <c r="U17" s="8">
        <f>S17*D17*H17*I7*J17</f>
        <v/>
      </c>
      <c r="V17" s="9" t="inlineStr">
        <is>
          <t>kVA</t>
        </is>
      </c>
      <c r="W17" s="15" t="n"/>
      <c r="X17" s="42" t="inlineStr">
        <is>
          <t>Facteur de Simultanéité du Tableau (Ks)</t>
        </is>
      </c>
      <c r="Y17" s="78" t="n"/>
      <c r="Z17" s="43">
        <f>IF(Z15&gt;=10,0.6,IF(Z15&gt;=6,0.7,IF(Z15&lt;6,0.8)))</f>
        <v/>
      </c>
    </row>
    <row r="18">
      <c r="S18" s="20" t="n"/>
      <c r="W18" s="15" t="n"/>
      <c r="X18" s="84" t="n"/>
      <c r="Y18" s="85" t="n"/>
      <c r="Z18" s="83" t="n"/>
    </row>
    <row r="19" ht="15" customHeight="1" s="13">
      <c r="S19" s="20" t="n"/>
      <c r="W19" s="15" t="n"/>
      <c r="X19" s="80" t="n"/>
      <c r="Y19" s="82" t="n"/>
      <c r="Z19" s="88" t="n"/>
    </row>
    <row r="20">
      <c r="S20" s="20" t="n"/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S21" s="20" t="n"/>
      <c r="W21" s="15" t="n"/>
      <c r="X21" s="88" t="n"/>
      <c r="Y21" s="80" t="n"/>
      <c r="Z21" s="82" t="n"/>
    </row>
    <row r="22">
      <c r="S22" s="20" t="n"/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S23" s="20" t="n"/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  <row r="26"/>
    <row r="27">
      <c r="Y27" s="20" t="n"/>
    </row>
  </sheetData>
  <mergeCells count="72">
    <mergeCell ref="Y24:Y25"/>
    <mergeCell ref="A1:Z4"/>
    <mergeCell ref="F11:G11"/>
    <mergeCell ref="Y9:Y10"/>
    <mergeCell ref="Z17:Z19"/>
    <mergeCell ref="D10:E10"/>
    <mergeCell ref="F16:G16"/>
    <mergeCell ref="F10:G10"/>
    <mergeCell ref="O6:P6"/>
    <mergeCell ref="U6:V6"/>
    <mergeCell ref="I7:I17"/>
    <mergeCell ref="X7:X8"/>
    <mergeCell ref="Z7:Z8"/>
    <mergeCell ref="S5:V5"/>
    <mergeCell ref="A12:C12"/>
    <mergeCell ref="Y11:Y12"/>
    <mergeCell ref="Y20:Y21"/>
    <mergeCell ref="F7:G7"/>
    <mergeCell ref="Z22:Z23"/>
    <mergeCell ref="X24:X25"/>
    <mergeCell ref="X17:Y19"/>
    <mergeCell ref="F12:G12"/>
    <mergeCell ref="X14:Z14"/>
    <mergeCell ref="F15:G15"/>
    <mergeCell ref="D13:E13"/>
    <mergeCell ref="A14:C14"/>
    <mergeCell ref="D11:E11"/>
    <mergeCell ref="A8:C8"/>
    <mergeCell ref="Y22:Y23"/>
    <mergeCell ref="A17:C17"/>
    <mergeCell ref="D5:E6"/>
    <mergeCell ref="Y7:Y8"/>
    <mergeCell ref="D17:E17"/>
    <mergeCell ref="X20:X21"/>
    <mergeCell ref="F17:G17"/>
    <mergeCell ref="K5:N5"/>
    <mergeCell ref="Z20:Z21"/>
    <mergeCell ref="F8:G8"/>
    <mergeCell ref="A10:C10"/>
    <mergeCell ref="D16:E16"/>
    <mergeCell ref="A13:C13"/>
    <mergeCell ref="D7:E7"/>
    <mergeCell ref="M6:N6"/>
    <mergeCell ref="H5:J5"/>
    <mergeCell ref="Q6:R6"/>
    <mergeCell ref="X22:X23"/>
    <mergeCell ref="S6:T6"/>
    <mergeCell ref="X9:X10"/>
    <mergeCell ref="A9:C9"/>
    <mergeCell ref="O5:R5"/>
    <mergeCell ref="F13:G13"/>
    <mergeCell ref="A15:C15"/>
    <mergeCell ref="D9:E9"/>
    <mergeCell ref="F9:G9"/>
    <mergeCell ref="D12:E12"/>
    <mergeCell ref="D8:E8"/>
    <mergeCell ref="Z15:Z16"/>
    <mergeCell ref="A11:C11"/>
    <mergeCell ref="Z9:Z10"/>
    <mergeCell ref="D15:E15"/>
    <mergeCell ref="A5:C6"/>
    <mergeCell ref="X5:Z6"/>
    <mergeCell ref="Z24:Z25"/>
    <mergeCell ref="F5:G6"/>
    <mergeCell ref="D14:E14"/>
    <mergeCell ref="X15:Y16"/>
    <mergeCell ref="F14:G14"/>
    <mergeCell ref="X11:X12"/>
    <mergeCell ref="K6:L6"/>
    <mergeCell ref="A7:C7"/>
    <mergeCell ref="Z11:Z12"/>
    <mergeCell ref="A16:C16"/>
  </mergeCells>
  <pageMargins left="0.7" right="0.7" top="0.75" bottom="0.75" header="0.3" footer="0.3"/>
  <pageSetup orientation="landscape" paperSize="9" scale="56"/>
</worksheet>
</file>

<file path=xl/worksheets/sheet8.xml><?xml version="1.0" encoding="utf-8"?>
<worksheet xmlns="http://schemas.openxmlformats.org/spreadsheetml/2006/main">
  <sheetPr>
    <tabColor theme="2" tint="-0.749992370372631"/>
    <outlinePr summaryBelow="1" summaryRight="1"/>
    <pageSetUpPr fitToPage="1"/>
  </sheetPr>
  <dimension ref="A1:AA27"/>
  <sheetViews>
    <sheetView tabSelected="1" topLeftCell="A3" zoomScale="70" zoomScaleNormal="70" workbookViewId="0">
      <selection activeCell="F13" sqref="F13"/>
    </sheetView>
  </sheetViews>
  <sheetFormatPr baseColWidth="8" defaultRowHeight="15"/>
  <cols>
    <col width="4.140625" customWidth="1" style="13" min="23" max="23"/>
    <col width="10.140625" customWidth="1" style="13" min="24" max="24"/>
    <col hidden="1" width="9.140625" customWidth="1" style="13" min="27" max="27"/>
  </cols>
  <sheetData>
    <row r="1" ht="15" customHeight="1" s="13">
      <c r="A1" s="47" t="inlineStr">
        <is>
          <t>Tableau de Puissances - Tableau Général de Mobilité</t>
        </is>
      </c>
    </row>
    <row r="2" ht="15" customHeight="1" s="13"/>
    <row r="3" ht="15" customHeight="1" s="13"/>
    <row r="4" ht="63" customHeight="1" s="13"/>
    <row r="5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2" t="inlineStr">
        <is>
          <t>Cosϕ = f.p.</t>
        </is>
      </c>
      <c r="G5" s="78" t="n"/>
      <c r="H5" s="48" t="inlineStr">
        <is>
          <t>Facteurs</t>
        </is>
      </c>
      <c r="I5" s="79" t="n"/>
      <c r="J5" s="9" t="n"/>
      <c r="K5" s="48" t="inlineStr">
        <is>
          <t>Puissance Active</t>
        </is>
      </c>
      <c r="L5" s="79" t="n"/>
      <c r="M5" s="79" t="n"/>
      <c r="N5" s="9" t="n"/>
      <c r="O5" s="48" t="inlineStr">
        <is>
          <t>Puissance Réactive</t>
        </is>
      </c>
      <c r="P5" s="79" t="n"/>
      <c r="Q5" s="79" t="n"/>
      <c r="R5" s="9" t="n"/>
      <c r="S5" s="48" t="inlineStr">
        <is>
          <t>Puissance Apparente</t>
        </is>
      </c>
      <c r="T5" s="79" t="n"/>
      <c r="U5" s="79" t="n"/>
      <c r="V5" s="9" t="n"/>
      <c r="W5" s="7" t="n"/>
      <c r="X5" s="46" t="inlineStr">
        <is>
          <t>Puissance à Pleine Charge</t>
        </is>
      </c>
      <c r="Y5" s="77" t="n"/>
      <c r="Z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2" t="inlineStr">
        <is>
          <t>Simultanéité (Ks)</t>
        </is>
      </c>
      <c r="I6" s="2" t="inlineStr">
        <is>
          <t>Évolution des Charges (Ke)</t>
        </is>
      </c>
      <c r="J6" s="3" t="inlineStr">
        <is>
          <t>Utilisation (Ku)</t>
        </is>
      </c>
      <c r="K6" s="43" t="inlineStr">
        <is>
          <t>Unitaire</t>
        </is>
      </c>
      <c r="L6" s="9" t="n"/>
      <c r="M6" s="43" t="inlineStr">
        <is>
          <t>Ensemble</t>
        </is>
      </c>
      <c r="N6" s="9" t="n"/>
      <c r="O6" s="43" t="inlineStr">
        <is>
          <t>Unitaire</t>
        </is>
      </c>
      <c r="P6" s="9" t="n"/>
      <c r="Q6" s="43" t="inlineStr">
        <is>
          <t>Ensemble</t>
        </is>
      </c>
      <c r="R6" s="9" t="n"/>
      <c r="S6" s="43" t="inlineStr">
        <is>
          <t>Unitaire</t>
        </is>
      </c>
      <c r="T6" s="9" t="n"/>
      <c r="U6" s="43" t="inlineStr">
        <is>
          <t>Ensemble</t>
        </is>
      </c>
      <c r="V6" s="9" t="n"/>
      <c r="W6" s="14" t="n"/>
      <c r="X6" s="80" t="n"/>
      <c r="Y6" s="81" t="n"/>
      <c r="Z6" s="82" t="n"/>
    </row>
    <row r="7">
      <c r="A7" s="33" t="inlineStr">
        <is>
          <t>Borne de Recharge VE - MAGNUM CAP ref.MC NCC</t>
        </is>
      </c>
      <c r="B7" s="79" t="n"/>
      <c r="C7" s="9" t="n"/>
      <c r="D7" s="21" t="n">
        <v>3</v>
      </c>
      <c r="E7" s="9" t="n"/>
      <c r="F7" s="21" t="n">
        <v>0.95</v>
      </c>
      <c r="G7" s="9" t="n"/>
      <c r="H7" s="5" t="n">
        <v>1</v>
      </c>
      <c r="I7" s="22" t="n">
        <v>3</v>
      </c>
      <c r="J7" s="22" t="n">
        <v>1</v>
      </c>
      <c r="K7" s="11">
        <f>22</f>
        <v/>
      </c>
      <c r="L7" s="67" t="inlineStr">
        <is>
          <t>kW</t>
        </is>
      </c>
      <c r="M7" s="11">
        <f>K7*D7*H7*I7*J7</f>
        <v/>
      </c>
      <c r="N7" s="67" t="inlineStr">
        <is>
          <t>kW</t>
        </is>
      </c>
      <c r="O7" s="8">
        <f>K7*TAN(ACOS(F7))</f>
        <v/>
      </c>
      <c r="P7" s="9" t="inlineStr">
        <is>
          <t>kVar</t>
        </is>
      </c>
      <c r="Q7" s="8">
        <f>(K7*TAN(ACOS(F7)))*D7*H7*I7*J7</f>
        <v/>
      </c>
      <c r="R7" s="9" t="inlineStr">
        <is>
          <t>kVar</t>
        </is>
      </c>
      <c r="S7" s="8">
        <f>K7/F7</f>
        <v/>
      </c>
      <c r="T7" s="9" t="inlineStr">
        <is>
          <t>kVA</t>
        </is>
      </c>
      <c r="U7" s="8">
        <f>S7*D7*H7*I7*J7</f>
        <v/>
      </c>
      <c r="V7" s="9" t="inlineStr">
        <is>
          <t>kVA</t>
        </is>
      </c>
      <c r="W7" s="15" t="n"/>
      <c r="X7" s="32" t="inlineStr">
        <is>
          <t>Puissance Active</t>
        </is>
      </c>
      <c r="Y7" s="36">
        <f>SUM(M7:M7)</f>
        <v/>
      </c>
      <c r="Z7" s="34" t="inlineStr">
        <is>
          <t>kW</t>
        </is>
      </c>
    </row>
    <row r="8">
      <c r="S8" s="20" t="n"/>
      <c r="W8" s="15" t="n"/>
      <c r="X8" s="80" t="n"/>
      <c r="Y8" s="84" t="n"/>
      <c r="Z8" s="85" t="n"/>
    </row>
    <row r="9">
      <c r="S9" s="20" t="n"/>
      <c r="W9" s="15" t="n"/>
      <c r="X9" s="32" t="inlineStr">
        <is>
          <t>Puissance Réactive</t>
        </is>
      </c>
      <c r="Y9" s="36">
        <f>SUM(Q7:Q7)</f>
        <v/>
      </c>
      <c r="Z9" s="34" t="inlineStr">
        <is>
          <t>kVar</t>
        </is>
      </c>
    </row>
    <row r="10">
      <c r="S10" s="20" t="n"/>
      <c r="W10" s="15" t="n"/>
      <c r="X10" s="80" t="n"/>
      <c r="Y10" s="84" t="n"/>
      <c r="Z10" s="85" t="n"/>
    </row>
    <row r="11">
      <c r="S11" s="20" t="n"/>
      <c r="W11" s="15" t="n"/>
      <c r="X11" s="32" t="inlineStr">
        <is>
          <t>Puissance Apparente</t>
        </is>
      </c>
      <c r="Y11" s="86">
        <f>SUM(U7:U7)</f>
        <v/>
      </c>
      <c r="Z11" s="87" t="inlineStr">
        <is>
          <t>kVA</t>
        </is>
      </c>
    </row>
    <row r="12">
      <c r="S12" s="20" t="n"/>
      <c r="W12" s="15" t="n"/>
      <c r="X12" s="80" t="n"/>
      <c r="Y12" s="80" t="n"/>
      <c r="Z12" s="82" t="n"/>
    </row>
    <row r="13">
      <c r="S13" s="20" t="n"/>
      <c r="W13" s="15" t="n"/>
      <c r="X13" s="1" t="n"/>
      <c r="Y13" s="1" t="n"/>
      <c r="Z13" s="17" t="n"/>
    </row>
    <row r="14">
      <c r="W14" s="15" t="n"/>
      <c r="X14" s="44" t="inlineStr">
        <is>
          <t>Puissance du QVE/QGM</t>
        </is>
      </c>
      <c r="Y14" s="79" t="n"/>
      <c r="Z14" s="9" t="n"/>
    </row>
    <row r="15">
      <c r="W15" s="15" t="n"/>
      <c r="X15" s="42" t="inlineStr">
        <is>
          <t>Nombre de Circuits</t>
        </is>
      </c>
      <c r="Y15" s="78" t="n"/>
      <c r="Z15" s="43" t="n">
        <v>9</v>
      </c>
    </row>
    <row r="16">
      <c r="W16" s="15" t="n"/>
      <c r="X16" s="80" t="n"/>
      <c r="Y16" s="82" t="n"/>
      <c r="Z16" s="88" t="n"/>
    </row>
    <row r="17" ht="15" customHeight="1" s="13">
      <c r="W17" s="15" t="n"/>
      <c r="X17" s="42" t="inlineStr">
        <is>
          <t>Facteur de Simultanéité du Tableau (Ks)</t>
        </is>
      </c>
      <c r="Y17" s="78" t="n"/>
      <c r="Z17" s="43">
        <f>1</f>
        <v/>
      </c>
    </row>
    <row r="18">
      <c r="W18" s="15" t="n"/>
      <c r="X18" s="84" t="n"/>
      <c r="Y18" s="85" t="n"/>
      <c r="Z18" s="83" t="n"/>
    </row>
    <row r="19" ht="15" customHeight="1" s="13">
      <c r="W19" s="15" t="n"/>
      <c r="X19" s="80" t="n"/>
      <c r="Y19" s="82" t="n"/>
      <c r="Z19" s="88" t="n"/>
    </row>
    <row r="20">
      <c r="W20" s="15" t="n"/>
      <c r="X20" s="41" t="inlineStr">
        <is>
          <t>P x Ks =</t>
        </is>
      </c>
      <c r="Y20" s="86">
        <f>Y7*Z17</f>
        <v/>
      </c>
      <c r="Z20" s="87" t="inlineStr">
        <is>
          <t>kW</t>
        </is>
      </c>
      <c r="AA20" s="20">
        <f>Y20</f>
        <v/>
      </c>
    </row>
    <row r="21" ht="15" customHeight="1" s="13">
      <c r="W21" s="15" t="n"/>
      <c r="X21" s="88" t="n"/>
      <c r="Y21" s="80" t="n"/>
      <c r="Z21" s="82" t="n"/>
    </row>
    <row r="22">
      <c r="W22" s="15" t="n"/>
      <c r="X22" s="41" t="inlineStr">
        <is>
          <t>Q x Ks =</t>
        </is>
      </c>
      <c r="Y22" s="86">
        <f>Y9*Z17</f>
        <v/>
      </c>
      <c r="Z22" s="87" t="inlineStr">
        <is>
          <t>kVar</t>
        </is>
      </c>
      <c r="AA22" s="20">
        <f>Y22</f>
        <v/>
      </c>
    </row>
    <row r="23" ht="15" customHeight="1" s="13">
      <c r="W23" s="15" t="n"/>
      <c r="X23" s="88" t="n"/>
      <c r="Y23" s="80" t="n"/>
      <c r="Z23" s="82" t="n"/>
    </row>
    <row r="24">
      <c r="W24" s="15" t="n"/>
      <c r="X24" s="41" t="inlineStr">
        <is>
          <t>S x Ks =</t>
        </is>
      </c>
      <c r="Y24" s="86">
        <f>Y11*Z17</f>
        <v/>
      </c>
      <c r="Z24" s="87" t="inlineStr">
        <is>
          <t>kVA</t>
        </is>
      </c>
      <c r="AA24" s="20">
        <f>Y24</f>
        <v/>
      </c>
    </row>
    <row r="25" ht="15" customHeight="1" s="13">
      <c r="W25" s="16" t="n"/>
      <c r="X25" s="88" t="n"/>
      <c r="Y25" s="80" t="n"/>
      <c r="Z25" s="82" t="n"/>
    </row>
    <row r="26"/>
    <row r="27">
      <c r="Y27" s="20" t="n"/>
    </row>
  </sheetData>
  <mergeCells count="41">
    <mergeCell ref="Y24:Y25"/>
    <mergeCell ref="A1:Z4"/>
    <mergeCell ref="Y9:Y10"/>
    <mergeCell ref="Z17:Z19"/>
    <mergeCell ref="O6:P6"/>
    <mergeCell ref="U6:V6"/>
    <mergeCell ref="X7:X8"/>
    <mergeCell ref="Z7:Z8"/>
    <mergeCell ref="S5:V5"/>
    <mergeCell ref="Y11:Y12"/>
    <mergeCell ref="Y20:Y21"/>
    <mergeCell ref="F7:G7"/>
    <mergeCell ref="Z22:Z23"/>
    <mergeCell ref="X24:X25"/>
    <mergeCell ref="X17:Y19"/>
    <mergeCell ref="X14:Z14"/>
    <mergeCell ref="Y22:Y23"/>
    <mergeCell ref="D5:E6"/>
    <mergeCell ref="Y7:Y8"/>
    <mergeCell ref="X20:X21"/>
    <mergeCell ref="K5:N5"/>
    <mergeCell ref="Z20:Z21"/>
    <mergeCell ref="D7:E7"/>
    <mergeCell ref="M6:N6"/>
    <mergeCell ref="H5:J5"/>
    <mergeCell ref="Q6:R6"/>
    <mergeCell ref="X22:X23"/>
    <mergeCell ref="S6:T6"/>
    <mergeCell ref="X9:X10"/>
    <mergeCell ref="O5:R5"/>
    <mergeCell ref="Z15:Z16"/>
    <mergeCell ref="Z9:Z10"/>
    <mergeCell ref="A5:C6"/>
    <mergeCell ref="X5:Z6"/>
    <mergeCell ref="Z24:Z25"/>
    <mergeCell ref="F5:G6"/>
    <mergeCell ref="X15:Y16"/>
    <mergeCell ref="X11:X12"/>
    <mergeCell ref="K6:L6"/>
    <mergeCell ref="A7:C7"/>
    <mergeCell ref="Z11:Z12"/>
  </mergeCells>
  <pageMargins left="0.7" right="0.7" top="0.75" bottom="0.75" header="0.3" footer="0.3"/>
  <pageSetup orientation="landscape" paperSize="9" scale="56"/>
</worksheet>
</file>

<file path=xl/worksheets/sheet9.xml><?xml version="1.0" encoding="utf-8"?>
<worksheet xmlns="http://schemas.openxmlformats.org/spreadsheetml/2006/main">
  <sheetPr>
    <tabColor theme="2" tint="-0.749992370372631"/>
    <outlinePr summaryBelow="1" summaryRight="1"/>
    <pageSetUpPr fitToPage="1"/>
  </sheetPr>
  <dimension ref="A1:Z25"/>
  <sheetViews>
    <sheetView zoomScale="70" zoomScaleNormal="70" workbookViewId="0">
      <selection activeCell="T21" sqref="T21"/>
    </sheetView>
  </sheetViews>
  <sheetFormatPr baseColWidth="8" defaultRowHeight="15"/>
  <cols>
    <col width="10.140625" customWidth="1" style="13" min="6" max="6"/>
    <col width="3.28515625" customWidth="1" style="13" min="12" max="12"/>
    <col width="19.5703125" bestFit="1" customWidth="1" style="13" min="14" max="14"/>
    <col hidden="1" style="13" min="16" max="16"/>
    <col width="10" customWidth="1" style="13" min="23" max="23"/>
    <col width="10.140625" customWidth="1" style="13" min="24" max="24"/>
  </cols>
  <sheetData>
    <row r="1" ht="15" customHeight="1" s="13">
      <c r="A1" s="73" t="inlineStr">
        <is>
          <t>Tableau de Puissances - Tableau Général Basse Tension</t>
        </is>
      </c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" customHeight="1" s="13"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" customHeight="1" s="13"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63" customHeight="1" s="13">
      <c r="A4" s="81" t="n"/>
      <c r="B4" s="81" t="n"/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" customHeight="1" s="13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8" t="inlineStr">
        <is>
          <t>Puissance Active</t>
        </is>
      </c>
      <c r="G5" s="78" t="n"/>
      <c r="H5" s="48" t="inlineStr">
        <is>
          <t>Puissance Réactive</t>
        </is>
      </c>
      <c r="I5" s="78" t="n"/>
      <c r="J5" s="48" t="inlineStr">
        <is>
          <t>Puissance Apparente</t>
        </is>
      </c>
      <c r="K5" s="78" t="n"/>
      <c r="L5" s="7" t="n"/>
      <c r="M5" s="46" t="inlineStr">
        <is>
          <t>Puissance à Pleine Charge</t>
        </is>
      </c>
      <c r="N5" s="77" t="n"/>
      <c r="O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80" t="n"/>
      <c r="I6" s="82" t="n"/>
      <c r="J6" s="80" t="n"/>
      <c r="K6" s="82" t="n"/>
      <c r="L6" s="14" t="n"/>
      <c r="M6" s="80" t="n"/>
      <c r="N6" s="81" t="n"/>
      <c r="O6" s="82" t="n"/>
    </row>
    <row r="7">
      <c r="A7" s="33" t="inlineStr">
        <is>
          <t>QP1</t>
        </is>
      </c>
      <c r="B7" s="79" t="n"/>
      <c r="C7" s="9" t="n"/>
      <c r="D7" s="21" t="n">
        <v>1</v>
      </c>
      <c r="E7" s="9" t="n"/>
      <c r="F7" s="11">
        <f>'QP1'!AA20</f>
        <v/>
      </c>
      <c r="G7" s="67" t="inlineStr">
        <is>
          <t>kW</t>
        </is>
      </c>
      <c r="H7" s="11">
        <f>'QP1'!AA22</f>
        <v/>
      </c>
      <c r="I7" s="67" t="inlineStr">
        <is>
          <t>kW</t>
        </is>
      </c>
      <c r="J7" s="8">
        <f>'QP1'!AA24</f>
        <v/>
      </c>
      <c r="K7" s="9" t="inlineStr">
        <is>
          <t>kVar</t>
        </is>
      </c>
      <c r="L7" s="15" t="n"/>
      <c r="M7" s="42" t="inlineStr">
        <is>
          <t>Puissance Active</t>
        </is>
      </c>
      <c r="N7" s="86">
        <f>SUM(F7:F13)</f>
        <v/>
      </c>
      <c r="O7" s="87" t="inlineStr">
        <is>
          <t>kW</t>
        </is>
      </c>
    </row>
    <row r="8">
      <c r="A8" s="33" t="inlineStr">
        <is>
          <t>QP2</t>
        </is>
      </c>
      <c r="B8" s="79" t="n"/>
      <c r="C8" s="9" t="n"/>
      <c r="D8" s="21" t="n">
        <v>1</v>
      </c>
      <c r="E8" s="9" t="n"/>
      <c r="F8" s="11">
        <f>'QP2'!AA20</f>
        <v/>
      </c>
      <c r="G8" s="67" t="inlineStr">
        <is>
          <t>kW</t>
        </is>
      </c>
      <c r="H8" s="11">
        <f>'QP2'!AA22</f>
        <v/>
      </c>
      <c r="I8" s="67" t="inlineStr">
        <is>
          <t>kW</t>
        </is>
      </c>
      <c r="J8" s="8">
        <f>'QP2'!AA24</f>
        <v/>
      </c>
      <c r="K8" s="9" t="inlineStr">
        <is>
          <t>kVar</t>
        </is>
      </c>
      <c r="L8" s="15" t="n"/>
      <c r="M8" s="88" t="n"/>
      <c r="N8" s="80" t="n"/>
      <c r="O8" s="82" t="n"/>
    </row>
    <row r="9">
      <c r="A9" s="33" t="inlineStr">
        <is>
          <t>QP3</t>
        </is>
      </c>
      <c r="B9" s="79" t="n"/>
      <c r="C9" s="9" t="n"/>
      <c r="D9" s="21" t="n">
        <v>1</v>
      </c>
      <c r="E9" s="9" t="n"/>
      <c r="F9" s="11">
        <f>'QP3'!AA20</f>
        <v/>
      </c>
      <c r="G9" s="67" t="inlineStr">
        <is>
          <t>kW</t>
        </is>
      </c>
      <c r="H9" s="11">
        <f>'QP3'!AA22</f>
        <v/>
      </c>
      <c r="I9" s="67" t="inlineStr">
        <is>
          <t>kW</t>
        </is>
      </c>
      <c r="J9" s="8">
        <f>'QP3'!AA24</f>
        <v/>
      </c>
      <c r="K9" s="9" t="inlineStr">
        <is>
          <t>kVar</t>
        </is>
      </c>
      <c r="L9" s="15" t="n"/>
      <c r="M9" s="42" t="inlineStr">
        <is>
          <t>Puissance Réactive</t>
        </is>
      </c>
      <c r="N9" s="86">
        <f>SUM(H7:H13)</f>
        <v/>
      </c>
      <c r="O9" s="87" t="inlineStr">
        <is>
          <t>kVar</t>
        </is>
      </c>
    </row>
    <row r="10">
      <c r="A10" s="33" t="inlineStr">
        <is>
          <t>QP4</t>
        </is>
      </c>
      <c r="B10" s="79" t="n"/>
      <c r="C10" s="9" t="n"/>
      <c r="D10" s="21" t="n">
        <v>1</v>
      </c>
      <c r="E10" s="9" t="n"/>
      <c r="F10" s="11">
        <f>'QP4'!AA20</f>
        <v/>
      </c>
      <c r="G10" s="67" t="inlineStr">
        <is>
          <t>kW</t>
        </is>
      </c>
      <c r="H10" s="11">
        <f>'QP4'!AA22</f>
        <v/>
      </c>
      <c r="I10" s="67" t="inlineStr">
        <is>
          <t>kW</t>
        </is>
      </c>
      <c r="J10" s="8">
        <f>'QP4'!AA24</f>
        <v/>
      </c>
      <c r="K10" s="9" t="inlineStr">
        <is>
          <t>kVar</t>
        </is>
      </c>
      <c r="L10" s="15" t="n"/>
      <c r="M10" s="88" t="n"/>
      <c r="N10" s="80" t="n"/>
      <c r="O10" s="82" t="n"/>
    </row>
    <row r="11">
      <c r="A11" s="33" t="inlineStr">
        <is>
          <t>QP5</t>
        </is>
      </c>
      <c r="B11" s="79" t="n"/>
      <c r="C11" s="9" t="n"/>
      <c r="D11" s="21" t="n">
        <v>1</v>
      </c>
      <c r="E11" s="9" t="n"/>
      <c r="F11" s="11">
        <f>'QP5'!AA20</f>
        <v/>
      </c>
      <c r="G11" s="67" t="inlineStr">
        <is>
          <t>kW</t>
        </is>
      </c>
      <c r="H11" s="11">
        <f>'QP5'!AA22</f>
        <v/>
      </c>
      <c r="I11" s="67" t="inlineStr">
        <is>
          <t>kW</t>
        </is>
      </c>
      <c r="J11" s="8">
        <f>'QP5'!AA24</f>
        <v/>
      </c>
      <c r="K11" s="9" t="inlineStr">
        <is>
          <t>kVar</t>
        </is>
      </c>
      <c r="L11" s="15" t="n"/>
      <c r="M11" s="42" t="inlineStr">
        <is>
          <t>Puissance Apparente</t>
        </is>
      </c>
      <c r="N11" s="86">
        <f>SUM(J7:J13)</f>
        <v/>
      </c>
      <c r="O11" s="87" t="inlineStr">
        <is>
          <t>kVA</t>
        </is>
      </c>
    </row>
    <row r="12">
      <c r="A12" s="33" t="inlineStr">
        <is>
          <t>QP6</t>
        </is>
      </c>
      <c r="B12" s="79" t="n"/>
      <c r="C12" s="9" t="n"/>
      <c r="D12" s="21" t="n">
        <v>1</v>
      </c>
      <c r="E12" s="9" t="n"/>
      <c r="F12" s="11">
        <f>'QP6'!AA20</f>
        <v/>
      </c>
      <c r="G12" s="67" t="inlineStr">
        <is>
          <t>kW</t>
        </is>
      </c>
      <c r="H12" s="11">
        <f>'QP6'!AA22</f>
        <v/>
      </c>
      <c r="I12" s="67" t="inlineStr">
        <is>
          <t>kW</t>
        </is>
      </c>
      <c r="J12" s="8">
        <f>'QP6'!AA24</f>
        <v/>
      </c>
      <c r="K12" s="9" t="inlineStr">
        <is>
          <t>kVar</t>
        </is>
      </c>
      <c r="L12" s="15" t="n"/>
      <c r="M12" s="88" t="n"/>
      <c r="N12" s="80" t="n"/>
      <c r="O12" s="82" t="n"/>
    </row>
    <row r="13">
      <c r="A13" s="33" t="inlineStr">
        <is>
          <t>QP7</t>
        </is>
      </c>
      <c r="B13" s="79" t="n"/>
      <c r="C13" s="9" t="n"/>
      <c r="D13" s="21" t="n">
        <v>1</v>
      </c>
      <c r="E13" s="9" t="n"/>
      <c r="F13" s="11">
        <f>'QP7'!AA20</f>
        <v/>
      </c>
      <c r="G13" s="67" t="inlineStr">
        <is>
          <t>kW</t>
        </is>
      </c>
      <c r="H13" s="11">
        <f>'QP7'!AA22</f>
        <v/>
      </c>
      <c r="I13" s="67" t="inlineStr">
        <is>
          <t>kW</t>
        </is>
      </c>
      <c r="J13" s="8">
        <f>'QP7'!AA24</f>
        <v/>
      </c>
      <c r="K13" s="9" t="inlineStr">
        <is>
          <t>kVar</t>
        </is>
      </c>
      <c r="L13" s="15" t="n"/>
      <c r="M13" s="1" t="n"/>
      <c r="N13" s="1" t="n"/>
      <c r="O13" s="17" t="n"/>
    </row>
    <row r="14">
      <c r="L14" s="15" t="n"/>
      <c r="M14" s="44" t="inlineStr">
        <is>
          <t>Puissance du QGBT</t>
        </is>
      </c>
      <c r="N14" s="79" t="n"/>
      <c r="O14" s="9" t="n"/>
    </row>
    <row r="15">
      <c r="L15" s="15" t="n"/>
      <c r="M15" s="42" t="inlineStr">
        <is>
          <t>Nombre de Circuits</t>
        </is>
      </c>
      <c r="N15" s="78" t="n"/>
      <c r="O15" s="43" t="n">
        <v>7</v>
      </c>
    </row>
    <row r="16">
      <c r="L16" s="15" t="n"/>
      <c r="M16" s="80" t="n"/>
      <c r="N16" s="82" t="n"/>
      <c r="O16" s="88" t="n"/>
    </row>
    <row r="17" ht="15" customHeight="1" s="13">
      <c r="L17" s="15" t="n"/>
      <c r="M17" s="42" t="inlineStr">
        <is>
          <t>Facteur de Simultanéité du Tableau (Ks)</t>
        </is>
      </c>
      <c r="N17" s="78" t="n"/>
      <c r="O17" s="43">
        <f>IF(O15&gt;=10,0.6,IF(O15&gt;=6,0.7,IF(O15&lt;6,0.8)))</f>
        <v/>
      </c>
    </row>
    <row r="18">
      <c r="L18" s="15" t="n"/>
      <c r="M18" s="84" t="n"/>
      <c r="N18" s="85" t="n"/>
      <c r="O18" s="83" t="n"/>
    </row>
    <row r="19" ht="15" customHeight="1" s="13">
      <c r="L19" s="15" t="n"/>
      <c r="M19" s="80" t="n"/>
      <c r="N19" s="82" t="n"/>
      <c r="O19" s="88" t="n"/>
    </row>
    <row r="20">
      <c r="L20" s="15" t="n"/>
      <c r="M20" s="41" t="inlineStr">
        <is>
          <t>P x Ks =</t>
        </is>
      </c>
      <c r="N20" s="86">
        <f>N7*O17</f>
        <v/>
      </c>
      <c r="O20" s="87" t="inlineStr">
        <is>
          <t>kW</t>
        </is>
      </c>
      <c r="P20" s="20">
        <f>N20</f>
        <v/>
      </c>
    </row>
    <row r="21" ht="15" customHeight="1" s="13">
      <c r="L21" s="15" t="n"/>
      <c r="M21" s="88" t="n"/>
      <c r="N21" s="80" t="n"/>
      <c r="O21" s="82" t="n"/>
    </row>
    <row r="22">
      <c r="L22" s="15" t="n"/>
      <c r="M22" s="41" t="inlineStr">
        <is>
          <t>Q x Ks =</t>
        </is>
      </c>
      <c r="N22" s="86">
        <f>N9*O17</f>
        <v/>
      </c>
      <c r="O22" s="87" t="inlineStr">
        <is>
          <t>kVar</t>
        </is>
      </c>
      <c r="P22" s="20">
        <f>N22</f>
        <v/>
      </c>
    </row>
    <row r="23" ht="15" customHeight="1" s="13">
      <c r="L23" s="15" t="n"/>
      <c r="M23" s="88" t="n"/>
      <c r="N23" s="80" t="n"/>
      <c r="O23" s="82" t="n"/>
    </row>
    <row r="24">
      <c r="L24" s="15" t="n"/>
      <c r="M24" s="41" t="inlineStr">
        <is>
          <t>S x Ks =</t>
        </is>
      </c>
      <c r="N24" s="86">
        <f>N11*O17</f>
        <v/>
      </c>
      <c r="O24" s="87" t="inlineStr">
        <is>
          <t>kVA</t>
        </is>
      </c>
      <c r="P24" s="20">
        <f>N24</f>
        <v/>
      </c>
    </row>
    <row r="25" ht="15" customHeight="1" s="13">
      <c r="L25" s="16" t="n"/>
      <c r="M25" s="88" t="n"/>
      <c r="N25" s="80" t="n"/>
      <c r="O25" s="82" t="n"/>
    </row>
  </sheetData>
  <mergeCells count="44">
    <mergeCell ref="M20:M21"/>
    <mergeCell ref="N22:N23"/>
    <mergeCell ref="D10:E10"/>
    <mergeCell ref="O24:O25"/>
    <mergeCell ref="M11:M12"/>
    <mergeCell ref="O20:O21"/>
    <mergeCell ref="A12:C12"/>
    <mergeCell ref="M7:M8"/>
    <mergeCell ref="O17:O19"/>
    <mergeCell ref="M22:M23"/>
    <mergeCell ref="D13:E13"/>
    <mergeCell ref="D11:E11"/>
    <mergeCell ref="A8:C8"/>
    <mergeCell ref="D5:E6"/>
    <mergeCell ref="M5:O6"/>
    <mergeCell ref="H5:I6"/>
    <mergeCell ref="O22:O23"/>
    <mergeCell ref="J5:K6"/>
    <mergeCell ref="M14:O14"/>
    <mergeCell ref="M24:M25"/>
    <mergeCell ref="A10:C10"/>
    <mergeCell ref="A13:C13"/>
    <mergeCell ref="D7:E7"/>
    <mergeCell ref="A1:O4"/>
    <mergeCell ref="N9:N10"/>
    <mergeCell ref="O11:O12"/>
    <mergeCell ref="A9:C9"/>
    <mergeCell ref="N24:N25"/>
    <mergeCell ref="O7:O8"/>
    <mergeCell ref="D9:E9"/>
    <mergeCell ref="D12:E12"/>
    <mergeCell ref="N11:N12"/>
    <mergeCell ref="D8:E8"/>
    <mergeCell ref="A11:C11"/>
    <mergeCell ref="M9:M10"/>
    <mergeCell ref="A5:C6"/>
    <mergeCell ref="O9:O10"/>
    <mergeCell ref="F5:G6"/>
    <mergeCell ref="N20:N21"/>
    <mergeCell ref="M15:N16"/>
    <mergeCell ref="M17:N19"/>
    <mergeCell ref="A7:C7"/>
    <mergeCell ref="N7:N8"/>
    <mergeCell ref="O15:O16"/>
  </mergeCells>
  <pageMargins left="0.7" right="0.7" top="0.75" bottom="0.75" header="0.3" footer="0.3"/>
  <pageSetup orientation="landscape" paperSize="9" scale="56"/>
</worksheet>
</file>

<file path=xl/worksheets/sheet10.xml><?xml version="1.0" encoding="utf-8"?>
<worksheet xmlns="http://schemas.openxmlformats.org/spreadsheetml/2006/main">
  <sheetPr>
    <tabColor theme="2" tint="-0.8999908444471572"/>
    <outlinePr summaryBelow="1" summaryRight="1"/>
    <pageSetUpPr fitToPage="1"/>
  </sheetPr>
  <dimension ref="A1:Z25"/>
  <sheetViews>
    <sheetView topLeftCell="A4" zoomScale="70" zoomScaleNormal="70" workbookViewId="0">
      <selection activeCell="I23" sqref="I23"/>
    </sheetView>
  </sheetViews>
  <sheetFormatPr baseColWidth="8" defaultRowHeight="15"/>
  <cols>
    <col width="10.140625" customWidth="1" style="13" min="6" max="6"/>
    <col width="3.28515625" customWidth="1" style="13" min="12" max="12"/>
    <col width="19.5703125" bestFit="1" customWidth="1" style="13" min="14" max="14"/>
    <col width="10" customWidth="1" style="13" min="23" max="23"/>
    <col width="10.140625" customWidth="1" style="13" min="24" max="24"/>
  </cols>
  <sheetData>
    <row r="1" ht="15" customHeight="1" s="13">
      <c r="A1" s="73" t="inlineStr">
        <is>
          <t>Tableau de Puissances - Tableau du Poste de Transformation</t>
        </is>
      </c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" customHeight="1" s="13"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" customHeight="1" s="13"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63" customHeight="1" s="13">
      <c r="A4" s="81" t="n"/>
      <c r="B4" s="81" t="n"/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" customHeight="1" s="13">
      <c r="A5" s="46" t="inlineStr">
        <is>
          <t>Équipement</t>
        </is>
      </c>
      <c r="B5" s="77" t="n"/>
      <c r="C5" s="78" t="n"/>
      <c r="D5" s="46" t="inlineStr">
        <is>
          <t>Quantité</t>
        </is>
      </c>
      <c r="E5" s="78" t="n"/>
      <c r="F5" s="48" t="inlineStr">
        <is>
          <t>Puissance Active</t>
        </is>
      </c>
      <c r="G5" s="78" t="n"/>
      <c r="H5" s="48" t="inlineStr">
        <is>
          <t>Puissance Réactive</t>
        </is>
      </c>
      <c r="I5" s="78" t="n"/>
      <c r="J5" s="48" t="inlineStr">
        <is>
          <t>Puissance Apparente</t>
        </is>
      </c>
      <c r="K5" s="78" t="n"/>
      <c r="L5" s="7" t="n"/>
      <c r="M5" s="46" t="inlineStr">
        <is>
          <t>Puissance à Pleine Charge</t>
        </is>
      </c>
      <c r="N5" s="77" t="n"/>
      <c r="O5" s="78" t="n"/>
    </row>
    <row r="6" ht="94.5" customHeight="1" s="13">
      <c r="A6" s="80" t="n"/>
      <c r="B6" s="81" t="n"/>
      <c r="C6" s="82" t="n"/>
      <c r="D6" s="80" t="n"/>
      <c r="E6" s="82" t="n"/>
      <c r="F6" s="80" t="n"/>
      <c r="G6" s="82" t="n"/>
      <c r="H6" s="80" t="n"/>
      <c r="I6" s="82" t="n"/>
      <c r="J6" s="80" t="n"/>
      <c r="K6" s="82" t="n"/>
      <c r="L6" s="14" t="n"/>
      <c r="M6" s="80" t="n"/>
      <c r="N6" s="81" t="n"/>
      <c r="O6" s="82" t="n"/>
    </row>
    <row r="7">
      <c r="A7" s="33" t="inlineStr">
        <is>
          <t>QGBT</t>
        </is>
      </c>
      <c r="B7" s="79" t="n"/>
      <c r="C7" s="9" t="n"/>
      <c r="D7" s="21" t="n">
        <v>1</v>
      </c>
      <c r="E7" s="9" t="n"/>
      <c r="F7" s="11">
        <f>QGBT!P20</f>
        <v/>
      </c>
      <c r="G7" s="67" t="inlineStr">
        <is>
          <t>kW</t>
        </is>
      </c>
      <c r="H7" s="11">
        <f>QGBT!P22</f>
        <v/>
      </c>
      <c r="I7" s="67" t="inlineStr">
        <is>
          <t>kW</t>
        </is>
      </c>
      <c r="J7" s="8">
        <f>QGBT!P24</f>
        <v/>
      </c>
      <c r="K7" s="9" t="inlineStr">
        <is>
          <t>kVar</t>
        </is>
      </c>
      <c r="L7" s="15" t="n"/>
      <c r="M7" s="42" t="inlineStr">
        <is>
          <t>Puissance Active</t>
        </is>
      </c>
      <c r="N7" s="86">
        <f>SUM(F7:F8)</f>
        <v/>
      </c>
      <c r="O7" s="87" t="inlineStr">
        <is>
          <t>kW</t>
        </is>
      </c>
    </row>
    <row r="8">
      <c r="A8" s="33" t="inlineStr">
        <is>
          <t>QGM</t>
        </is>
      </c>
      <c r="B8" s="79" t="n"/>
      <c r="C8" s="9" t="n"/>
      <c r="D8" s="21" t="n">
        <v>1</v>
      </c>
      <c r="E8" s="9" t="n"/>
      <c r="F8" s="11">
        <f>QGM!AA20</f>
        <v/>
      </c>
      <c r="G8" s="67" t="inlineStr">
        <is>
          <t>kW</t>
        </is>
      </c>
      <c r="H8" s="11">
        <f>QGM!AA22</f>
        <v/>
      </c>
      <c r="I8" s="67" t="inlineStr">
        <is>
          <t>kW</t>
        </is>
      </c>
      <c r="J8" s="8">
        <f>QGM!AA24</f>
        <v/>
      </c>
      <c r="K8" s="9" t="inlineStr">
        <is>
          <t>kVar</t>
        </is>
      </c>
      <c r="L8" s="15" t="n"/>
      <c r="M8" s="88" t="n"/>
      <c r="N8" s="80" t="n"/>
      <c r="O8" s="82" t="n"/>
    </row>
    <row r="9">
      <c r="L9" s="15" t="n"/>
      <c r="M9" s="42" t="inlineStr">
        <is>
          <t>Puissance Réactive</t>
        </is>
      </c>
      <c r="N9" s="86">
        <f>SUM(H7:H8)</f>
        <v/>
      </c>
      <c r="O9" s="87" t="inlineStr">
        <is>
          <t>kVar</t>
        </is>
      </c>
    </row>
    <row r="10">
      <c r="L10" s="15" t="n"/>
      <c r="M10" s="88" t="n"/>
      <c r="N10" s="80" t="n"/>
      <c r="O10" s="82" t="n"/>
    </row>
    <row r="11">
      <c r="L11" s="15" t="n"/>
      <c r="M11" s="42" t="inlineStr">
        <is>
          <t>Puissance Apparente</t>
        </is>
      </c>
      <c r="N11" s="86">
        <f>SUM(J7:J8)</f>
        <v/>
      </c>
      <c r="O11" s="87" t="inlineStr">
        <is>
          <t>kVA</t>
        </is>
      </c>
    </row>
    <row r="12">
      <c r="L12" s="15" t="n"/>
      <c r="M12" s="88" t="n"/>
      <c r="N12" s="80" t="n"/>
      <c r="O12" s="82" t="n"/>
    </row>
    <row r="13">
      <c r="L13" s="15" t="n"/>
      <c r="M13" s="1" t="n"/>
      <c r="N13" s="1" t="n"/>
      <c r="O13" s="17" t="n"/>
    </row>
    <row r="14">
      <c r="L14" s="15" t="n"/>
      <c r="M14" s="44" t="inlineStr">
        <is>
          <t>Puissance du QPT</t>
        </is>
      </c>
      <c r="N14" s="79" t="n"/>
      <c r="O14" s="9" t="n"/>
    </row>
    <row r="15">
      <c r="L15" s="15" t="n"/>
      <c r="M15" s="42" t="inlineStr">
        <is>
          <t>Nombre de Circuits</t>
        </is>
      </c>
      <c r="N15" s="78" t="n"/>
      <c r="O15" s="43" t="n">
        <v>2</v>
      </c>
    </row>
    <row r="16">
      <c r="L16" s="15" t="n"/>
      <c r="M16" s="80" t="n"/>
      <c r="N16" s="82" t="n"/>
      <c r="O16" s="88" t="n"/>
    </row>
    <row r="17" ht="15" customHeight="1" s="13">
      <c r="L17" s="15" t="n"/>
      <c r="M17" s="42" t="inlineStr">
        <is>
          <t>Facteur de Simultanéité du Tableau (Ks)</t>
        </is>
      </c>
      <c r="N17" s="78" t="n"/>
      <c r="O17" s="43" t="n">
        <v>0.9</v>
      </c>
    </row>
    <row r="18">
      <c r="L18" s="15" t="n"/>
      <c r="M18" s="84" t="n"/>
      <c r="N18" s="85" t="n"/>
      <c r="O18" s="83" t="n"/>
    </row>
    <row r="19" ht="15" customHeight="1" s="13">
      <c r="L19" s="15" t="n"/>
      <c r="M19" s="80" t="n"/>
      <c r="N19" s="82" t="n"/>
      <c r="O19" s="88" t="n"/>
    </row>
    <row r="20">
      <c r="L20" s="15" t="n"/>
      <c r="M20" s="41" t="inlineStr">
        <is>
          <t>P x Ks =</t>
        </is>
      </c>
      <c r="N20" s="86">
        <f>N7*O17</f>
        <v/>
      </c>
      <c r="O20" s="87" t="inlineStr">
        <is>
          <t>kW</t>
        </is>
      </c>
    </row>
    <row r="21" ht="15" customHeight="1" s="13">
      <c r="L21" s="15" t="n"/>
      <c r="M21" s="88" t="n"/>
      <c r="N21" s="80" t="n"/>
      <c r="O21" s="82" t="n"/>
    </row>
    <row r="22">
      <c r="L22" s="15" t="n"/>
      <c r="M22" s="41" t="inlineStr">
        <is>
          <t>Q x Ks =</t>
        </is>
      </c>
      <c r="N22" s="86">
        <f>N9*O17</f>
        <v/>
      </c>
      <c r="O22" s="87" t="inlineStr">
        <is>
          <t>kVar</t>
        </is>
      </c>
    </row>
    <row r="23" ht="15" customHeight="1" s="13">
      <c r="L23" s="15" t="n"/>
      <c r="M23" s="88" t="n"/>
      <c r="N23" s="80" t="n"/>
      <c r="O23" s="82" t="n"/>
    </row>
    <row r="24">
      <c r="L24" s="15" t="n"/>
      <c r="M24" s="41" t="inlineStr">
        <is>
          <t>S x Ks =</t>
        </is>
      </c>
      <c r="N24" s="86">
        <f>N11*O17</f>
        <v/>
      </c>
      <c r="O24" s="87" t="inlineStr">
        <is>
          <t>kVA</t>
        </is>
      </c>
    </row>
    <row r="25" ht="15" customHeight="1" s="13">
      <c r="L25" s="16" t="n"/>
      <c r="M25" s="88" t="n"/>
      <c r="N25" s="80" t="n"/>
      <c r="O25" s="82" t="n"/>
    </row>
  </sheetData>
  <mergeCells count="34">
    <mergeCell ref="M20:M21"/>
    <mergeCell ref="N22:N23"/>
    <mergeCell ref="O24:O25"/>
    <mergeCell ref="M11:M12"/>
    <mergeCell ref="O20:O21"/>
    <mergeCell ref="M7:M8"/>
    <mergeCell ref="O17:O19"/>
    <mergeCell ref="M22:M23"/>
    <mergeCell ref="A8:C8"/>
    <mergeCell ref="D5:E6"/>
    <mergeCell ref="M5:O6"/>
    <mergeCell ref="H5:I6"/>
    <mergeCell ref="O22:O23"/>
    <mergeCell ref="J5:K6"/>
    <mergeCell ref="M14:O14"/>
    <mergeCell ref="M24:M25"/>
    <mergeCell ref="D7:E7"/>
    <mergeCell ref="A1:O4"/>
    <mergeCell ref="N9:N10"/>
    <mergeCell ref="O11:O12"/>
    <mergeCell ref="N24:N25"/>
    <mergeCell ref="O7:O8"/>
    <mergeCell ref="N11:N12"/>
    <mergeCell ref="D8:E8"/>
    <mergeCell ref="M9:M10"/>
    <mergeCell ref="A5:C6"/>
    <mergeCell ref="O9:O10"/>
    <mergeCell ref="F5:G6"/>
    <mergeCell ref="N20:N21"/>
    <mergeCell ref="M15:N16"/>
    <mergeCell ref="M17:N19"/>
    <mergeCell ref="A7:C7"/>
    <mergeCell ref="N7:N8"/>
    <mergeCell ref="O15:O16"/>
  </mergeCells>
  <pageMargins left="0.7" right="0.7" top="0.75" bottom="0.75" header="0.3" footer="0.3"/>
  <pageSetup orientation="landscape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Gonçalo Figueira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2026-10-01T17:51:07Z</dcterms:modified>
  <cp:lastModifiedBy>Gonçalo Figueira</cp:lastModifiedBy>
  <cp:lastPrinted>2022-11-19T17:00:08Z</cp:lastPrinted>
</cp:coreProperties>
</file>