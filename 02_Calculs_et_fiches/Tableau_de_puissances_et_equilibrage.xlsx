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daa37e596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P1" sheetId="1" r:id="R884f734172be4d47"/>
    <x:sheet xmlns:r="http://schemas.openxmlformats.org/officeDocument/2006/relationships" name="QP2" sheetId="2" r:id="Rb1392f01739b4450"/>
    <x:sheet xmlns:r="http://schemas.openxmlformats.org/officeDocument/2006/relationships" name="QP3" sheetId="3" r:id="Ra3d6fea5c2d44868"/>
    <x:sheet xmlns:r="http://schemas.openxmlformats.org/officeDocument/2006/relationships" name="QP4" sheetId="4" r:id="R7d3b291bf0fd413c"/>
    <x:sheet xmlns:r="http://schemas.openxmlformats.org/officeDocument/2006/relationships" name="QP5" sheetId="5" r:id="R9cfd2dba142a48b9"/>
    <x:sheet xmlns:r="http://schemas.openxmlformats.org/officeDocument/2006/relationships" name="QP6" sheetId="6" r:id="R7548c7852f92484e"/>
    <x:sheet xmlns:r="http://schemas.openxmlformats.org/officeDocument/2006/relationships" name="QP7" sheetId="7" r:id="R5b3875da6cc047fa"/>
    <x:sheet xmlns:r="http://schemas.openxmlformats.org/officeDocument/2006/relationships" name="QGM" sheetId="8" r:id="Rd1631367e64a4906"/>
    <x:sheet xmlns:r="http://schemas.openxmlformats.org/officeDocument/2006/relationships" name="QGBT" sheetId="9" r:id="R4e951e179e47461f"/>
    <x:sheet xmlns:r="http://schemas.openxmlformats.org/officeDocument/2006/relationships" name="QPT" sheetId="10" r:id="R02a0c2466174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"/>
  </x:numFmts>
  <x:fonts count="5">
    <x:font>
      <x:sz val="11"/>
      <x:color theme="1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28"/>
      <x:color theme="1"/>
      <x:name val="Calibri"/>
    </x:font>
    <x:font>
      <x:sz val="8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</x:fills>
  <x:borders count="1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top style="thin">
        <x:color indexed="64"/>
      </x:top>
    </x:border>
    <x:border>
      <x:bottom style="thin">
        <x:color indexed="64"/>
      </x:bottom>
    </x:border>
  </x:borders>
  <x:cellStyleXfs count="5">
    <x:xf numFmtId="0" fontId="1" fillId="0" borderId="0"/>
    <x:xf numFmtId="0" fontId="2" fillId="2" borderId="0"/>
    <x:xf numFmtId="0" fontId="1" fillId="3" borderId="0"/>
    <x:xf numFmtId="0" fontId="1" fillId="4" borderId="0"/>
    <x:xf numFmtId="0" fontId="1" fillId="5" borderId="0"/>
  </x:cellStyleXfs>
  <x:cellXfs count="89">
    <x:xf numFmtId="0" fontId="0" fillId="0" borderId="0" xfId="0"/>
    <x:xf numFmtId="0" fontId="2" fillId="2" borderId="0" xfId="1"/>
    <x:xf numFmtId="0" fontId="1" fillId="5" borderId="5" xfId="4" applyAlignment="1">
      <x:alignment horizontal="center" vertical="center" wrapText="1"/>
    </x:xf>
    <x:xf numFmtId="0" fontId="1" fillId="5" borderId="5" xfId="4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center" vertical="center"/>
    </x:xf>
    <x:xf numFmtId="0" fontId="2" fillId="2" borderId="7" xfId="1" applyAlignment="1">
      <x:alignment horizontal="center"/>
    </x:xf>
    <x:xf numFmtId="164" fontId="0" fillId="0" borderId="2" xfId="0"/>
    <x:xf numFmtId="0" fontId="0" fillId="0" borderId="4" xfId="0"/>
    <x:xf numFmtId="0" fontId="0" fillId="0" borderId="4" xfId="0" applyAlignment="1">
      <x:alignment horizontal="left" vertical="center"/>
    </x:xf>
    <x:xf numFmtId="164" fontId="0" fillId="0" borderId="2" xfId="0" applyAlignment="1">
      <x:alignment horizontal="right" vertical="center"/>
    </x:xf>
    <x:xf numFmtId="164" fontId="0" fillId="0" borderId="0" xfId="0"/>
    <x:xf numFmtId="0" fontId="0" fillId="0" borderId="0" xfId="0"/>
    <x:xf numFmtId="0" fontId="2" fillId="2" borderId="12" xfId="1" applyAlignment="1">
      <x:alignment horizontal="center"/>
    </x:xf>
    <x:xf numFmtId="0" fontId="2" fillId="2" borderId="12" xfId="1"/>
    <x:xf numFmtId="0" fontId="2" fillId="2" borderId="5" xfId="1"/>
    <x:xf numFmtId="0" fontId="2" fillId="2" borderId="4" xfId="1"/>
    <x:xf numFmtId="2" fontId="0" fillId="0" borderId="1" xfId="0" applyAlignment="1">
      <x:alignment horizontal="center" vertical="center"/>
    </x:xf>
    <x:xf numFmtId="0" fontId="3" fillId="0" borderId="0" xfId="0" applyAlignment="1">
      <x:alignment vertical="center"/>
    </x:xf>
    <x:xf numFmtId="164" fontId="0" fillId="0" borderId="0" xfId="0"/>
    <x:xf numFmtId="0" fontId="0" fillId="0" borderId="1" xfId="0" applyAlignment="1">
      <x:alignment horizontal="center"/>
    </x:xf>
    <x:xf numFmtId="0" fontId="0" fillId="0" borderId="1" xfId="0" applyAlignment="1">
      <x:alignment horizontal="center" vertical="center"/>
    </x:xf>
    <x:xf numFmtId="0" fontId="1" fillId="3" borderId="7" xfId="2" applyAlignment="1">
      <x:alignment horizontal="center" vertical="center"/>
    </x:xf>
    <x:xf numFmtId="0" fontId="1" fillId="3" borderId="8" xfId="2" applyAlignment="1">
      <x:alignment horizontal="center" vertical="center"/>
    </x:xf>
    <x:xf numFmtId="0" fontId="1" fillId="3" borderId="5" xfId="2" applyAlignment="1">
      <x:alignment horizontal="center" vertical="center"/>
    </x:xf>
    <x:xf numFmtId="0" fontId="1" fillId="4" borderId="9" xfId="3" applyAlignment="1">
      <x:alignment horizontal="center" vertical="center" wrapText="1"/>
    </x:xf>
    <x:xf numFmtId="0" fontId="1" fillId="4" borderId="10" xfId="3" applyAlignment="1">
      <x:alignment horizontal="center" vertical="center" wrapText="1"/>
    </x:xf>
    <x:xf numFmtId="0" fontId="1" fillId="4" borderId="12" xfId="3" applyAlignment="1">
      <x:alignment horizontal="center" vertical="center" wrapText="1"/>
    </x:xf>
    <x:xf numFmtId="0" fontId="1" fillId="4" borderId="13" xfId="3" applyAlignment="1">
      <x:alignment horizontal="center" vertical="center" wrapText="1"/>
    </x:xf>
    <x:xf numFmtId="0" fontId="1" fillId="4" borderId="6" xfId="3" applyAlignment="1">
      <x:alignment horizontal="center" vertical="center" wrapText="1"/>
    </x:xf>
    <x:xf numFmtId="0" fontId="1" fillId="4" borderId="11" xfId="3" applyAlignment="1">
      <x:alignment horizontal="center" vertical="center" wrapText="1"/>
    </x:xf>
    <x:xf numFmtId="0" fontId="1" fillId="4" borderId="2" xfId="3" applyAlignment="1">
      <x:alignment horizontal="center" vertical="center" wrapText="1"/>
    </x:xf>
    <x:xf numFmtId="0" fontId="0" fillId="0" borderId="1" xfId="0" applyAlignment="1">
      <x:alignment horizontal="left" vertical="center"/>
    </x:xf>
    <x:xf numFmtId="0" fontId="1" fillId="3" borderId="10" xfId="2" applyAlignment="1">
      <x:alignment horizontal="left" vertical="center"/>
    </x:xf>
    <x:xf numFmtId="0" fontId="1" fillId="3" borderId="13" xfId="2" applyAlignment="1">
      <x:alignment horizontal="left" vertical="center"/>
    </x:xf>
    <x:xf numFmtId="164" fontId="1" fillId="3" borderId="9" xfId="2" applyAlignment="1">
      <x:alignment horizontal="right" vertical="center"/>
    </x:xf>
    <x:xf numFmtId="164" fontId="1" fillId="3" borderId="12" xfId="2" applyAlignment="1">
      <x:alignment horizontal="right" vertical="center"/>
    </x:xf>
    <x:xf numFmtId="0" fontId="1" fillId="3" borderId="12" xfId="2" applyAlignment="1">
      <x:alignment horizontal="right" vertical="center"/>
    </x:xf>
    <x:xf numFmtId="0" fontId="1" fillId="3" borderId="6" xfId="2" applyAlignment="1">
      <x:alignment horizontal="right" vertical="center"/>
    </x:xf>
    <x:xf numFmtId="0" fontId="1" fillId="3" borderId="11" xfId="2" applyAlignment="1">
      <x:alignment horizontal="left" vertical="center"/>
    </x:xf>
    <x:xf numFmtId="0" fontId="1" fillId="4" borderId="1" xfId="3" applyAlignment="1">
      <x:alignment horizontal="center" vertical="center"/>
    </x:xf>
    <x:xf numFmtId="0" fontId="1" fillId="4" borderId="1" xfId="3" applyAlignment="1">
      <x:alignment horizontal="center" vertical="center" wrapText="1"/>
    </x:xf>
    <x:xf numFmtId="0" fontId="1" fillId="3" borderId="1" xfId="2" applyAlignment="1">
      <x:alignment horizontal="center" vertical="center"/>
    </x:xf>
    <x:xf numFmtId="0" fontId="1" fillId="5" borderId="1" xfId="4" applyAlignment="1">
      <x:alignment horizontal="center"/>
    </x:xf>
    <x:xf numFmtId="164" fontId="1" fillId="3" borderId="6" xfId="2" applyAlignment="1">
      <x:alignment horizontal="right" vertical="center"/>
    </x:xf>
    <x:xf numFmtId="0" fontId="1" fillId="5" borderId="1" xfId="4" applyAlignment="1">
      <x:alignment horizontal="center" vertical="center" wrapText="1"/>
    </x:xf>
    <x:xf numFmtId="0" fontId="3" fillId="0" borderId="0" xfId="0" applyAlignment="1">
      <x:alignment horizontal="left" vertical="center"/>
    </x:xf>
    <x:xf numFmtId="0" fontId="2" fillId="2" borderId="1" xfId="1" applyAlignment="1">
      <x:alignment horizontal="center" vertical="center" wrapText="1"/>
    </x:xf>
    <x:xf numFmtId="0" fontId="1" fillId="3" borderId="2" xfId="2" applyAlignment="1">
      <x:alignment horizontal="center" vertical="center"/>
    </x:xf>
    <x:xf numFmtId="0" fontId="1" fillId="5" borderId="9" xfId="4" applyAlignment="1">
      <x:alignment horizontal="center" vertical="center" wrapText="1"/>
    </x:xf>
    <x:xf numFmtId="0" fontId="1" fillId="5" borderId="14" xfId="4" applyAlignment="1">
      <x:alignment horizontal="center" vertical="center" wrapText="1"/>
    </x:xf>
    <x:xf numFmtId="0" fontId="1" fillId="5" borderId="10" xfId="4" applyAlignment="1">
      <x:alignment horizontal="center" vertical="center" wrapText="1"/>
    </x:xf>
    <x:xf numFmtId="0" fontId="1" fillId="5" borderId="6" xfId="4" applyAlignment="1">
      <x:alignment horizontal="center" vertical="center" wrapText="1"/>
    </x:xf>
    <x:xf numFmtId="0" fontId="1" fillId="5" borderId="15" xfId="4" applyAlignment="1">
      <x:alignment horizontal="center" vertical="center" wrapText="1"/>
    </x:xf>
    <x:xf numFmtId="0" fontId="1" fillId="5" borderId="11" xfId="4" applyAlignment="1">
      <x:alignment horizontal="center" vertical="center" wrapText="1"/>
    </x:xf>
    <x:xf numFmtId="0" fontId="0" fillId="0" borderId="7" xfId="0" applyAlignment="1">
      <x:alignment horizontal="center" vertical="center"/>
    </x:xf>
    <x:xf numFmtId="0" fontId="0" fillId="0" borderId="8" xfId="0" applyAlignment="1">
      <x:alignment horizontal="center" vertical="center"/>
    </x:xf>
    <x:xf numFmtId="0" fontId="0" fillId="0" borderId="5" xfId="0" applyAlignment="1">
      <x:alignment horizontal="center" vertical="center"/>
    </x:xf>
    <x:xf numFmtId="0" fontId="2" fillId="2" borderId="9" xfId="1" applyAlignment="1">
      <x:alignment horizontal="center" vertical="center" wrapText="1"/>
    </x:xf>
    <x:xf numFmtId="0" fontId="2" fillId="2" borderId="10" xfId="1" applyAlignment="1">
      <x:alignment horizontal="center" vertical="center" wrapText="1"/>
    </x:xf>
    <x:xf numFmtId="0" fontId="2" fillId="2" borderId="6" xfId="1" applyAlignment="1">
      <x:alignment horizontal="center" vertical="center" wrapText="1"/>
    </x:xf>
    <x:xf numFmtId="0" fontId="2" fillId="2" borderId="11" xfId="1" applyAlignment="1">
      <x:alignment horizontal="center" vertical="center" wrapText="1"/>
    </x:xf>
    <x:xf numFmtId="0" fontId="1" fillId="4" borderId="7" xfId="3" applyAlignment="1">
      <x:alignment horizontal="center" vertical="center" wrapText="1"/>
    </x:xf>
    <x:xf numFmtId="0" fontId="1" fillId="4" borderId="5" xfId="3" applyAlignment="1">
      <x:alignment horizontal="center" vertical="center" wrapText="1"/>
    </x:xf>
    <x:xf numFmtId="0" fontId="0" fillId="0" borderId="2" xfId="0" applyAlignment="1">
      <x:alignment horizontal="left" vertical="center"/>
    </x:xf>
    <x:xf numFmtId="0" fontId="0" fillId="0" borderId="3" xfId="0" applyAlignment="1">
      <x:alignment horizontal="left" vertical="center"/>
    </x:xf>
    <x:xf numFmtId="0" fontId="0" fillId="0" borderId="4" xfId="0" applyAlignment="1">
      <x:alignment horizontal="left" vertical="center"/>
    </x:xf>
    <x:xf numFmtId="0" fontId="0" fillId="0" borderId="2" xfId="0" applyAlignment="1">
      <x:alignment horizontal="center"/>
    </x:xf>
    <x:xf numFmtId="0" fontId="0" fillId="0" borderId="4" xfId="0" applyAlignment="1">
      <x:alignment horizontal="center"/>
    </x:xf>
    <x:xf numFmtId="0" fontId="1" fillId="4" borderId="7" xfId="3" applyAlignment="1">
      <x:alignment horizontal="center" vertical="center"/>
    </x:xf>
    <x:xf numFmtId="0" fontId="1" fillId="4" borderId="5" xfId="3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15" xfId="0" applyAlignment="1">
      <x:alignment horizontal="center" vertical="center"/>
    </x:xf>
    <x:xf numFmtId="0" fontId="1" fillId="5" borderId="2" xfId="4" applyAlignment="1">
      <x:alignment horizontal="center"/>
    </x:xf>
    <x:xf numFmtId="0" fontId="1" fillId="5" borderId="3" xfId="4" applyAlignment="1">
      <x:alignment horizontal="center"/>
    </x:xf>
    <x:xf numFmtId="0" fontId="1" fillId="5" borderId="4" xfId="4" applyAlignment="1">
      <x:alignment horizontal="center"/>
    </x:xf>
    <x:xf numFmtId="0" fontId="0" fillId="0" borderId="14" xfId="0"/>
    <x:xf numFmtId="0" fontId="0" fillId="0" borderId="10" xfId="0"/>
    <x:xf numFmtId="0" fontId="0" fillId="0" borderId="3" xfId="0"/>
    <x:xf numFmtId="0" fontId="0" fillId="0" borderId="6" xfId="0"/>
    <x:xf numFmtId="0" fontId="0" fillId="0" borderId="15" xfId="0"/>
    <x:xf numFmtId="0" fontId="0" fillId="0" borderId="11" xfId="0"/>
    <x:xf numFmtId="0" fontId="0" fillId="0" borderId="8" xfId="0"/>
    <x:xf numFmtId="0" fontId="0" fillId="0" borderId="12" xfId="0"/>
    <x:xf numFmtId="0" fontId="0" fillId="0" borderId="13" xfId="0"/>
    <x:xf numFmtId="164" fontId="1" fillId="3" borderId="2" xfId="2" applyAlignment="1">
      <x:alignment horizontal="right" vertical="center"/>
    </x:xf>
    <x:xf numFmtId="0" fontId="1" fillId="3" borderId="4" xfId="2" applyAlignment="1">
      <x:alignment horizontal="left" vertical="center"/>
    </x:xf>
    <x:xf numFmtId="0" fontId="0" fillId="0" borderId="5" xfId="0"/>
  </x:cellXfs>
  <x:cellStyles count="5">
    <x:cellStyle name="Normal" xfId="0"/>
    <x:cellStyle name="Cor3" xfId="1"/>
    <x:cellStyle name="20% - Cor3" xfId="2"/>
    <x:cellStyle name="40% - Cor3" xfId="3"/>
    <x:cellStyle name="60% - Cor3" xfId="4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88e050dea418b" /><Relationship Type="http://schemas.openxmlformats.org/officeDocument/2006/relationships/theme" Target="/xl/theme/theme1.xml" Id="R86a22d17073f4034" /><Relationship Type="http://schemas.openxmlformats.org/officeDocument/2006/relationships/sharedStrings" Target="/xl/sharedStrings.xml" Id="Rd341953d7e074e87" /><Relationship Type="http://schemas.openxmlformats.org/officeDocument/2006/relationships/worksheet" Target="/xl/worksheets/sheet1.xml" Id="R884f734172be4d47" /><Relationship Type="http://schemas.openxmlformats.org/officeDocument/2006/relationships/worksheet" Target="/xl/worksheets/sheet2.xml" Id="Rb1392f01739b4450" /><Relationship Type="http://schemas.openxmlformats.org/officeDocument/2006/relationships/worksheet" Target="/xl/worksheets/sheet3.xml" Id="Ra3d6fea5c2d44868" /><Relationship Type="http://schemas.openxmlformats.org/officeDocument/2006/relationships/worksheet" Target="/xl/worksheets/sheet4.xml" Id="R7d3b291bf0fd413c" /><Relationship Type="http://schemas.openxmlformats.org/officeDocument/2006/relationships/worksheet" Target="/xl/worksheets/sheet5.xml" Id="R9cfd2dba142a48b9" /><Relationship Type="http://schemas.openxmlformats.org/officeDocument/2006/relationships/worksheet" Target="/xl/worksheets/sheet6.xml" Id="R7548c7852f92484e" /><Relationship Type="http://schemas.openxmlformats.org/officeDocument/2006/relationships/worksheet" Target="/xl/worksheets/sheet7.xml" Id="R5b3875da6cc047fa" /><Relationship Type="http://schemas.openxmlformats.org/officeDocument/2006/relationships/worksheet" Target="/xl/worksheets/sheet8.xml" Id="Rd1631367e64a4906" /><Relationship Type="http://schemas.openxmlformats.org/officeDocument/2006/relationships/worksheet" Target="/xl/worksheets/sheet9.xml" Id="R4e951e179e47461f" /><Relationship Type="http://schemas.openxmlformats.org/officeDocument/2006/relationships/worksheet" Target="/xl/worksheets/sheet10.xml" Id="R02a0c246617447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1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Luminaire LEDVANCE ref.4058075708181</x:t>
        </x:is>
      </x:c>
      <x:c r="B7" s="79" t="n"/>
      <x:c r="C7" s="9" t="n"/>
      <x:c r="D7" s="21" t="n">
        <x:v>40</x:v>
      </x:c>
      <x:c r="E7" s="9" t="n"/>
      <x:c r="F7" s="21" t="n">
        <x:v>0.95</x:v>
      </x:c>
      <x:c r="G7" s="9" t="n"/>
      <x:c r="H7" s="5" t="n">
        <x:v>1</x:v>
      </x:c>
      <x:c r="I7" s="22" t="n">
        <x:v>1</x:v>
      </x:c>
      <x:c r="J7" s="22" t="n">
        <x:v>1</x:v>
      </x:c>
      <x:c r="K7" s="11">
        <x:f>(133/0.9)/1000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SUM(M7:M15)</x:f>
      </x:c>
      <x:c r="Z7" s="34" t="inlineStr">
        <x:is>
          <x:t xml:space="preserve">kW</x:t>
        </x:is>
      </x:c>
    </x:row>
    <x:row r="8">
      <x:c r="A8" s="33" t="inlineStr">
        <x:is>
          <x:t xml:space="preserve">Tableau de Prises (1x16A 2P+T et 1x32A 3P+N+T)</x:t>
        </x:is>
      </x:c>
      <x:c r="B8" s="79" t="n"/>
      <x:c r="C8" s="9" t="n"/>
      <x:c r="D8" s="21" t="n">
        <x:v>3</x:v>
      </x:c>
      <x:c r="E8" s="9" t="n"/>
      <x:c r="F8" s="21" t="n">
        <x:v>0.9</x:v>
      </x:c>
      <x:c r="G8" s="9" t="n"/>
      <x:c r="H8" s="22">
        <x:f>0.1+(0.9/(D8*2))</x:f>
      </x:c>
      <x:c r="I8" s="83" t="n"/>
      <x:c r="J8" s="22" t="n">
        <x:v>1</x:v>
      </x:c>
      <x:c r="K8" s="11">
        <x:f>((230*16)/1000)+(((230*SQRT(3))*32*SQRT(3))/1000)</x:f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>
        <x:f>K8/F8</x:f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Machine d'Injection 1</x:t>
        </x:is>
      </x:c>
      <x:c r="B9" s="79" t="n"/>
      <x:c r="C9" s="9" t="n"/>
      <x:c r="D9" s="21" t="n">
        <x:v>1</x:v>
      </x:c>
      <x:c r="E9" s="9" t="n"/>
      <x:c r="F9" s="21" t="n">
        <x:v>0.85</x:v>
      </x:c>
      <x:c r="G9" s="9" t="n"/>
      <x:c r="H9" s="22" t="n">
        <x:v>1</x:v>
      </x:c>
      <x:c r="I9" s="83" t="n"/>
      <x:c r="J9" s="22" t="n">
        <x:v>0.8</x:v>
      </x:c>
      <x:c r="K9" s="11">
        <x:f>S9*F9</x:f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 t="n">
        <x:v>25</x:v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SUM(Q7:Q15)</x:f>
      </x:c>
      <x:c r="Z9" s="34" t="inlineStr">
        <x:is>
          <x:t xml:space="preserve">kVar</x:t>
        </x:is>
      </x:c>
    </x:row>
    <x:row r="10">
      <x:c r="A10" s="33" t="inlineStr">
        <x:is>
          <x:t xml:space="preserve">Machine d'Injection 2</x:t>
        </x:is>
      </x:c>
      <x:c r="B10" s="79" t="n"/>
      <x:c r="C10" s="9" t="n"/>
      <x:c r="D10" s="21" t="n">
        <x:v>1</x:v>
      </x:c>
      <x:c r="E10" s="9" t="n"/>
      <x:c r="F10" s="21" t="n">
        <x:v>0.85</x:v>
      </x:c>
      <x:c r="G10" s="9" t="n"/>
      <x:c r="H10" s="22" t="n">
        <x:v>1</x:v>
      </x:c>
      <x:c r="I10" s="83" t="n"/>
      <x:c r="J10" s="22" t="n">
        <x:v>0.8</x:v>
      </x:c>
      <x:c r="K10" s="11">
        <x:f>S10*F10</x:f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 t="n">
        <x:v>45</x:v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Machine d'Injection 3</x:t>
        </x:is>
      </x:c>
      <x:c r="B11" s="79" t="n"/>
      <x:c r="C11" s="9" t="n"/>
      <x:c r="D11" s="21" t="n">
        <x:v>1</x:v>
      </x:c>
      <x:c r="E11" s="9" t="n"/>
      <x:c r="F11" s="21" t="n">
        <x:v>0.85</x:v>
      </x:c>
      <x:c r="G11" s="9" t="n"/>
      <x:c r="H11" s="22" t="n">
        <x:v>1</x:v>
      </x:c>
      <x:c r="I11" s="83" t="n"/>
      <x:c r="J11" s="22" t="n">
        <x:v>0.8</x:v>
      </x:c>
      <x:c r="K11" s="11">
        <x:f>S11*F11</x:f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 t="n">
        <x:v>45</x:v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SUM(U7:U15)</x:f>
      </x:c>
      <x:c r="Z11" s="87" t="inlineStr">
        <x:is>
          <x:t xml:space="preserve">kVA</x:t>
        </x:is>
      </x:c>
    </x:row>
    <x:row r="12">
      <x:c r="A12" s="33" t="inlineStr">
        <x:is>
          <x:t xml:space="preserve">Machine d'Injection 4</x:t>
        </x:is>
      </x:c>
      <x:c r="B12" s="79" t="n"/>
      <x:c r="C12" s="9" t="n"/>
      <x:c r="D12" s="21" t="n">
        <x:v>1</x:v>
      </x:c>
      <x:c r="E12" s="9" t="n"/>
      <x:c r="F12" s="21" t="n">
        <x:v>0.85</x:v>
      </x:c>
      <x:c r="G12" s="9" t="n"/>
      <x:c r="H12" s="22" t="n">
        <x:v>1</x:v>
      </x:c>
      <x:c r="I12" s="83" t="n"/>
      <x:c r="J12" s="22" t="n">
        <x:v>0.8</x:v>
      </x:c>
      <x:c r="K12" s="11">
        <x:f>S12*F12</x:f>
      </x:c>
      <x:c r="L12" s="67" t="inlineStr">
        <x:is>
          <x:t xml:space="preserve">kW</x:t>
        </x:is>
      </x:c>
      <x:c r="M12" s="11">
        <x:f>K12*D12*H12*I7*J12</x:f>
      </x:c>
      <x:c r="N12" s="67" t="inlineStr">
        <x:is>
          <x:t xml:space="preserve">kW</x:t>
        </x:is>
      </x:c>
      <x:c r="O12" s="8">
        <x:f>K12*TAN(ACOS(F12))</x:f>
      </x:c>
      <x:c r="P12" s="9" t="inlineStr">
        <x:is>
          <x:t xml:space="preserve">kVar</x:t>
        </x:is>
      </x:c>
      <x:c r="Q12" s="8">
        <x:f>(K12*TAN(ACOS(F12)))*D12*H12*I7*J12</x:f>
      </x:c>
      <x:c r="R12" s="9" t="inlineStr">
        <x:is>
          <x:t xml:space="preserve">kVar</x:t>
        </x:is>
      </x:c>
      <x:c r="S12" s="8" t="n">
        <x:v>50</x:v>
      </x:c>
      <x:c r="T12" s="9" t="inlineStr">
        <x:is>
          <x:t xml:space="preserve">kVA</x:t>
        </x:is>
      </x:c>
      <x:c r="U12" s="8">
        <x:f>S12*D12*H12*I7*J12</x:f>
      </x:c>
      <x:c r="V12" s="9" t="inlineStr">
        <x:is>
          <x:t xml:space="preserve">kVA</x:t>
        </x:is>
      </x:c>
      <x:c r="W12" s="15" t="n"/>
      <x:c r="X12" s="80" t="n"/>
      <x:c r="Y12" s="80" t="n"/>
      <x:c r="Z12" s="82" t="n"/>
    </x:row>
    <x:row r="13">
      <x:c r="A13" s="33" t="inlineStr">
        <x:is>
          <x:t xml:space="preserve">Machine d'Injection 5</x:t>
        </x:is>
      </x:c>
      <x:c r="B13" s="79" t="n"/>
      <x:c r="C13" s="9" t="n"/>
      <x:c r="D13" s="21" t="n">
        <x:v>1</x:v>
      </x:c>
      <x:c r="E13" s="9" t="n"/>
      <x:c r="F13" s="21" t="n">
        <x:v>0.85</x:v>
      </x:c>
      <x:c r="G13" s="9" t="n"/>
      <x:c r="H13" s="22" t="n">
        <x:v>1</x:v>
      </x:c>
      <x:c r="I13" s="83" t="n"/>
      <x:c r="J13" s="22" t="n">
        <x:v>0.8</x:v>
      </x:c>
      <x:c r="K13" s="11">
        <x:f>S13*F13</x:f>
      </x:c>
      <x:c r="L13" s="67" t="inlineStr">
        <x:is>
          <x:t xml:space="preserve">kW</x:t>
        </x:is>
      </x:c>
      <x:c r="M13" s="11">
        <x:f>K13*D13*H13*I7*J13</x:f>
      </x:c>
      <x:c r="N13" s="67" t="inlineStr">
        <x:is>
          <x:t xml:space="preserve">kW</x:t>
        </x:is>
      </x:c>
      <x:c r="O13" s="8">
        <x:f>K13*TAN(ACOS(F13))</x:f>
      </x:c>
      <x:c r="P13" s="9" t="inlineStr">
        <x:is>
          <x:t xml:space="preserve">kVar</x:t>
        </x:is>
      </x:c>
      <x:c r="Q13" s="8">
        <x:f>(K13*TAN(ACOS(F13)))*D13*H13*I7*J13</x:f>
      </x:c>
      <x:c r="R13" s="9" t="inlineStr">
        <x:is>
          <x:t xml:space="preserve">kVar</x:t>
        </x:is>
      </x:c>
      <x:c r="S13" s="8" t="n">
        <x:v>85</x:v>
      </x:c>
      <x:c r="T13" s="9" t="inlineStr">
        <x:is>
          <x:t xml:space="preserve">kVA</x:t>
        </x:is>
      </x:c>
      <x:c r="U13" s="8">
        <x:f>S13*D13*H13*I7*J13</x:f>
      </x:c>
      <x:c r="V13" s="9" t="inlineStr">
        <x:is>
          <x:t xml:space="preserve">kVA</x:t>
        </x:is>
      </x:c>
      <x:c r="W13" s="15" t="n"/>
      <x:c r="X13" s="1" t="n"/>
      <x:c r="Y13" s="1" t="n"/>
      <x:c r="Z13" s="17" t="n"/>
    </x:row>
    <x:row r="14">
      <x:c r="A14" s="33" t="inlineStr">
        <x:is>
          <x:t xml:space="preserve">Machine d'Injection 6</x:t>
        </x:is>
      </x:c>
      <x:c r="B14" s="79" t="n"/>
      <x:c r="C14" s="9" t="n"/>
      <x:c r="D14" s="21" t="n">
        <x:v>1</x:v>
      </x:c>
      <x:c r="E14" s="9" t="n"/>
      <x:c r="F14" s="21" t="n">
        <x:v>0.85</x:v>
      </x:c>
      <x:c r="G14" s="9" t="n"/>
      <x:c r="H14" s="22" t="n">
        <x:v>1</x:v>
      </x:c>
      <x:c r="I14" s="83" t="n"/>
      <x:c r="J14" s="22" t="n">
        <x:v>0.8</x:v>
      </x:c>
      <x:c r="K14" s="11">
        <x:f>S14*F14</x:f>
      </x:c>
      <x:c r="L14" s="67" t="inlineStr">
        <x:is>
          <x:t xml:space="preserve">kW</x:t>
        </x:is>
      </x:c>
      <x:c r="M14" s="11">
        <x:f>K14*D14*H14*I7*J14</x:f>
      </x:c>
      <x:c r="N14" s="67" t="inlineStr">
        <x:is>
          <x:t xml:space="preserve">kW</x:t>
        </x:is>
      </x:c>
      <x:c r="O14" s="8">
        <x:f>K14*TAN(ACOS(F14))</x:f>
      </x:c>
      <x:c r="P14" s="9" t="inlineStr">
        <x:is>
          <x:t xml:space="preserve">kVar</x:t>
        </x:is>
      </x:c>
      <x:c r="Q14" s="8">
        <x:f>(K14*TAN(ACOS(F14)))*D14*H14*I7*J14</x:f>
      </x:c>
      <x:c r="R14" s="9" t="inlineStr">
        <x:is>
          <x:t xml:space="preserve">kVar</x:t>
        </x:is>
      </x:c>
      <x:c r="S14" s="8" t="n">
        <x:v>85</x:v>
      </x:c>
      <x:c r="T14" s="9" t="inlineStr">
        <x:is>
          <x:t xml:space="preserve">kVA</x:t>
        </x:is>
      </x:c>
      <x:c r="U14" s="8">
        <x:f>S14*D14*H14*I7*J14</x:f>
      </x:c>
      <x:c r="V14" s="9" t="inlineStr">
        <x:is>
          <x:t xml:space="preserve">kVA</x:t>
        </x:is>
      </x:c>
      <x:c r="W14" s="15" t="n"/>
      <x:c r="X14" s="44" t="inlineStr">
        <x:is>
          <x:t xml:space="preserve">Puissance du QP1</x:t>
        </x:is>
      </x:c>
      <x:c r="Y14" s="79" t="n"/>
      <x:c r="Z14" s="9" t="n"/>
    </x:row>
    <x:row r="15">
      <x:c r="A15" s="33" t="inlineStr">
        <x:is>
          <x:t xml:space="preserve">Machine d'Injection 10</x:t>
        </x:is>
      </x:c>
      <x:c r="B15" s="79" t="n"/>
      <x:c r="C15" s="9" t="n"/>
      <x:c r="D15" s="21" t="n">
        <x:v>1</x:v>
      </x:c>
      <x:c r="E15" s="9" t="n"/>
      <x:c r="F15" s="21" t="n">
        <x:v>0.85</x:v>
      </x:c>
      <x:c r="G15" s="9" t="n"/>
      <x:c r="H15" s="22" t="n">
        <x:v>1</x:v>
      </x:c>
      <x:c r="I15" s="88" t="n"/>
      <x:c r="J15" s="22" t="n">
        <x:v>0.8</x:v>
      </x:c>
      <x:c r="K15" s="11">
        <x:f>S15*F15</x:f>
      </x:c>
      <x:c r="L15" s="67" t="inlineStr">
        <x:is>
          <x:t xml:space="preserve">kW</x:t>
        </x:is>
      </x:c>
      <x:c r="M15" s="11">
        <x:f>K15*D15*H15*I7*J15</x:f>
      </x:c>
      <x:c r="N15" s="67" t="inlineStr">
        <x:is>
          <x:t xml:space="preserve">kW</x:t>
        </x:is>
      </x:c>
      <x:c r="O15" s="8">
        <x:f>K15*TAN(ACOS(F15))</x:f>
      </x:c>
      <x:c r="P15" s="9" t="inlineStr">
        <x:is>
          <x:t xml:space="preserve">kVar</x:t>
        </x:is>
      </x:c>
      <x:c r="Q15" s="8">
        <x:f>(K15*TAN(ACOS(F15)))*D15*H15*I7*J15</x:f>
      </x:c>
      <x:c r="R15" s="9" t="inlineStr">
        <x:is>
          <x:t xml:space="preserve">kVar</x:t>
        </x:is>
      </x:c>
      <x:c r="S15" s="8" t="n">
        <x:v>85</x:v>
      </x:c>
      <x:c r="T15" s="9" t="inlineStr">
        <x:is>
          <x:t xml:space="preserve">kVA</x:t>
        </x:is>
      </x:c>
      <x:c r="U15" s="8">
        <x:f>S15*D15*H15*I7*J15</x:f>
      </x:c>
      <x:c r="V15" s="9" t="inlineStr">
        <x:is>
          <x:t xml:space="preserve">kVA</x:t>
        </x:is>
      </x:c>
      <x:c r="W15" s="15" t="n"/>
      <x:c r="X15" s="42" t="inlineStr">
        <x:is>
          <x:t xml:space="preserve">Nombre de Circuits</x:t>
        </x:is>
      </x:c>
      <x:c r="Y15" s="78" t="n"/>
      <x:c r="Z15" s="43" t="n">
        <x:v>11</x:v>
      </x:c>
    </x:row>
    <x:row r="16">
      <x:c r="W16" s="15" t="n"/>
      <x:c r="X16" s="80" t="n"/>
      <x:c r="Y16" s="82" t="n"/>
      <x:c r="Z16" s="88" t="n"/>
    </x:row>
    <x:row r="17" s="13" customFormat="1" ht="15" customHeight="1"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S22" s="20" t="n"/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S23" s="20" t="n"/>
      <x:c r="W23" s="15" t="n"/>
      <x:c r="X23" s="88" t="n"/>
      <x:c r="Y23" s="80" t="n"/>
      <x:c r="Z23" s="82" t="n"/>
    </x:row>
    <x:row r="24">
      <x:c r="S24" s="20" t="n"/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S25" s="20" t="n"/>
      <x:c r="W25" s="16" t="n"/>
      <x:c r="X25" s="88" t="n"/>
      <x:c r="Y25" s="80" t="n"/>
      <x:c r="Z25" s="82" t="n"/>
    </x:row>
    <x:row r="26">
      <x:c r="S26" s="20" t="n"/>
    </x:row>
  </x:sheetData>
  <x:mergeCells>
    <x:mergeCell ref="Y24:Y25"/>
    <x:mergeCell ref="A1:Z4"/>
    <x:mergeCell ref="F11:G11"/>
    <x:mergeCell ref="D10:E10"/>
    <x:mergeCell ref="Y9:Y10"/>
    <x:mergeCell ref="Z17:Z19"/>
    <x:mergeCell ref="F10:G10"/>
    <x:mergeCell ref="O6:P6"/>
    <x:mergeCell ref="U6:V6"/>
    <x:mergeCell ref="X7:X8"/>
    <x:mergeCell ref="Z7:Z8"/>
    <x:mergeCell ref="S5:V5"/>
    <x:mergeCell ref="A12:C12"/>
    <x:mergeCell ref="Y11:Y12"/>
    <x:mergeCell ref="Y20:Y21"/>
    <x:mergeCell ref="F7:G7"/>
    <x:mergeCell ref="Z22:Z23"/>
    <x:mergeCell ref="X24:X25"/>
    <x:mergeCell ref="X17:Y19"/>
    <x:mergeCell ref="F12:G12"/>
    <x:mergeCell ref="X14:Z14"/>
    <x:mergeCell ref="F15:G15"/>
    <x:mergeCell ref="D11:E11"/>
    <x:mergeCell ref="A14:C14"/>
    <x:mergeCell ref="D13:E13"/>
    <x:mergeCell ref="A8:C8"/>
    <x:mergeCell ref="Y22:Y23"/>
    <x:mergeCell ref="D5:E6"/>
    <x:mergeCell ref="Y7:Y8"/>
    <x:mergeCell ref="X20:X21"/>
    <x:mergeCell ref="K5:N5"/>
    <x:mergeCell ref="Z20:Z21"/>
    <x:mergeCell ref="F8:G8"/>
    <x:mergeCell ref="A10:C10"/>
    <x:mergeCell ref="A13:C13"/>
    <x:mergeCell ref="D7:E7"/>
    <x:mergeCell ref="M6:N6"/>
    <x:mergeCell ref="H5:J5"/>
    <x:mergeCell ref="Q6:R6"/>
    <x:mergeCell ref="X22:X23"/>
    <x:mergeCell ref="S6:T6"/>
    <x:mergeCell ref="A9:C9"/>
    <x:mergeCell ref="X9:X10"/>
    <x:mergeCell ref="O5:R5"/>
    <x:mergeCell ref="A7:C7"/>
    <x:mergeCell ref="F13:G13"/>
    <x:mergeCell ref="A15:C15"/>
    <x:mergeCell ref="D9:E9"/>
    <x:mergeCell ref="F9:G9"/>
    <x:mergeCell ref="D12:E12"/>
    <x:mergeCell ref="D8:E8"/>
    <x:mergeCell ref="Z15:Z16"/>
    <x:mergeCell ref="A11:C11"/>
    <x:mergeCell ref="Z9:Z10"/>
    <x:mergeCell ref="D15:E15"/>
    <x:mergeCell ref="A5:C6"/>
    <x:mergeCell ref="X5:Z6"/>
    <x:mergeCell ref="F5:G6"/>
    <x:mergeCell ref="Z24:Z25"/>
    <x:mergeCell ref="D14:E14"/>
    <x:mergeCell ref="X15:Y16"/>
    <x:mergeCell ref="F14:G14"/>
    <x:mergeCell ref="X11:X12"/>
    <x:mergeCell ref="K6:L6"/>
    <x:mergeCell ref="I7:I15"/>
    <x:mergeCell ref="Z11:Z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2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Tableau de Prises (1x16A 2P+T et 1x32A 3P+N+T)</x:t>
        </x:is>
      </x:c>
      <x:c r="B7" s="79" t="n"/>
      <x:c r="C7" s="9" t="n"/>
      <x:c r="D7" s="21" t="n">
        <x:v>2</x:v>
      </x:c>
      <x:c r="E7" s="9" t="n"/>
      <x:c r="F7" s="21" t="n">
        <x:v>0.9</x:v>
      </x:c>
      <x:c r="G7" s="9" t="n"/>
      <x:c r="H7" s="22">
        <x:f>0.1+(0.9/(D7*2))</x:f>
      </x:c>
      <x:c r="I7" s="22" t="n">
        <x:v>1</x:v>
      </x:c>
      <x:c r="J7" s="22" t="n">
        <x:v>1</x:v>
      </x:c>
      <x:c r="K7" s="11">
        <x:f>((230*16)/1000)+(((230*SQRT(3))*32*SQRT(3))/1000)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SUM(M7:M12)</x:f>
      </x:c>
      <x:c r="Z7" s="34" t="inlineStr">
        <x:is>
          <x:t xml:space="preserve">kW</x:t>
        </x:is>
      </x:c>
    </x:row>
    <x:row r="8">
      <x:c r="A8" s="33" t="inlineStr">
        <x:is>
          <x:t xml:space="preserve">Machine d'Injection 7</x:t>
        </x:is>
      </x:c>
      <x:c r="B8" s="79" t="n"/>
      <x:c r="C8" s="9" t="n"/>
      <x:c r="D8" s="21" t="n">
        <x:v>1</x:v>
      </x:c>
      <x:c r="E8" s="9" t="n"/>
      <x:c r="F8" s="21" t="n">
        <x:v>0.85</x:v>
      </x:c>
      <x:c r="G8" s="9" t="n"/>
      <x:c r="H8" s="22" t="n">
        <x:v>1</x:v>
      </x:c>
      <x:c r="I8" s="83" t="n"/>
      <x:c r="J8" s="22" t="n">
        <x:v>0.8</x:v>
      </x:c>
      <x:c r="K8" s="11">
        <x:f>S8*F8</x:f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 t="n">
        <x:v>85</x:v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Machine d'Injection 8</x:t>
        </x:is>
      </x:c>
      <x:c r="B9" s="79" t="n"/>
      <x:c r="C9" s="9" t="n"/>
      <x:c r="D9" s="21" t="n">
        <x:v>1</x:v>
      </x:c>
      <x:c r="E9" s="9" t="n"/>
      <x:c r="F9" s="21" t="n">
        <x:v>0.85</x:v>
      </x:c>
      <x:c r="G9" s="9" t="n"/>
      <x:c r="H9" s="22" t="n">
        <x:v>1</x:v>
      </x:c>
      <x:c r="I9" s="83" t="n"/>
      <x:c r="J9" s="22" t="n">
        <x:v>0.8</x:v>
      </x:c>
      <x:c r="K9" s="11">
        <x:f>S9*F9</x:f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 t="n">
        <x:v>85</x:v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SUM(Q7:Q12)</x:f>
      </x:c>
      <x:c r="Z9" s="34" t="inlineStr">
        <x:is>
          <x:t xml:space="preserve">kVar</x:t>
        </x:is>
      </x:c>
    </x:row>
    <x:row r="10">
      <x:c r="A10" s="33" t="inlineStr">
        <x:is>
          <x:t xml:space="preserve">Machine d'Injection 9</x:t>
        </x:is>
      </x:c>
      <x:c r="B10" s="79" t="n"/>
      <x:c r="C10" s="9" t="n"/>
      <x:c r="D10" s="21" t="n">
        <x:v>1</x:v>
      </x:c>
      <x:c r="E10" s="9" t="n"/>
      <x:c r="F10" s="21" t="n">
        <x:v>0.85</x:v>
      </x:c>
      <x:c r="G10" s="9" t="n"/>
      <x:c r="H10" s="22" t="n">
        <x:v>1</x:v>
      </x:c>
      <x:c r="I10" s="83" t="n"/>
      <x:c r="J10" s="22" t="n">
        <x:v>0.8</x:v>
      </x:c>
      <x:c r="K10" s="11">
        <x:f>S10*F10</x:f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 t="n">
        <x:v>85</x:v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Machine d'Injection 11</x:t>
        </x:is>
      </x:c>
      <x:c r="B11" s="79" t="n"/>
      <x:c r="C11" s="9" t="n"/>
      <x:c r="D11" s="21" t="n">
        <x:v>1</x:v>
      </x:c>
      <x:c r="E11" s="9" t="n"/>
      <x:c r="F11" s="21" t="n">
        <x:v>0.85</x:v>
      </x:c>
      <x:c r="G11" s="9" t="n"/>
      <x:c r="H11" s="22" t="n">
        <x:v>1</x:v>
      </x:c>
      <x:c r="I11" s="83" t="n"/>
      <x:c r="J11" s="22" t="n">
        <x:v>0.8</x:v>
      </x:c>
      <x:c r="K11" s="11">
        <x:f>S11*F11</x:f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 t="n">
        <x:v>85</x:v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SUM(U7:U12)</x:f>
      </x:c>
      <x:c r="Z11" s="87" t="inlineStr">
        <x:is>
          <x:t xml:space="preserve">kVA</x:t>
        </x:is>
      </x:c>
    </x:row>
    <x:row r="12">
      <x:c r="A12" s="33" t="inlineStr">
        <x:is>
          <x:t xml:space="preserve">Machine d'Injection 14</x:t>
        </x:is>
      </x:c>
      <x:c r="B12" s="79" t="n"/>
      <x:c r="C12" s="9" t="n"/>
      <x:c r="D12" s="21" t="n">
        <x:v>1</x:v>
      </x:c>
      <x:c r="E12" s="9" t="n"/>
      <x:c r="F12" s="21" t="n">
        <x:v>0.85</x:v>
      </x:c>
      <x:c r="G12" s="9" t="n"/>
      <x:c r="H12" s="22" t="n">
        <x:v>1</x:v>
      </x:c>
      <x:c r="I12" s="88" t="n"/>
      <x:c r="J12" s="22" t="n">
        <x:v>0.8</x:v>
      </x:c>
      <x:c r="K12" s="11">
        <x:f>S12*F12</x:f>
      </x:c>
      <x:c r="L12" s="67" t="inlineStr">
        <x:is>
          <x:t xml:space="preserve">kW</x:t>
        </x:is>
      </x:c>
      <x:c r="M12" s="11">
        <x:f>K12*D12*H12*I7*J12</x:f>
      </x:c>
      <x:c r="N12" s="67" t="inlineStr">
        <x:is>
          <x:t xml:space="preserve">kW</x:t>
        </x:is>
      </x:c>
      <x:c r="O12" s="8">
        <x:f>K12*TAN(ACOS(F12))</x:f>
      </x:c>
      <x:c r="P12" s="9" t="inlineStr">
        <x:is>
          <x:t xml:space="preserve">kVar</x:t>
        </x:is>
      </x:c>
      <x:c r="Q12" s="8">
        <x:f>(K12*TAN(ACOS(F12)))*D12*H12*I7*J12</x:f>
      </x:c>
      <x:c r="R12" s="9" t="inlineStr">
        <x:is>
          <x:t xml:space="preserve">kVar</x:t>
        </x:is>
      </x:c>
      <x:c r="S12" s="8" t="n">
        <x:v>85</x:v>
      </x:c>
      <x:c r="T12" s="9" t="inlineStr">
        <x:is>
          <x:t xml:space="preserve">kVA</x:t>
        </x:is>
      </x:c>
      <x:c r="U12" s="8">
        <x:f>S12*D12*H12*I7*J12</x:f>
      </x:c>
      <x:c r="V12" s="9" t="inlineStr">
        <x:is>
          <x:t xml:space="preserve">kVA</x:t>
        </x:is>
      </x:c>
      <x:c r="W12" s="15" t="n"/>
      <x:c r="X12" s="80" t="n"/>
      <x:c r="Y12" s="80" t="n"/>
      <x:c r="Z12" s="82" t="n"/>
    </x:row>
    <x:row r="13">
      <x:c r="W13" s="15" t="n"/>
      <x:c r="X13" s="1" t="n"/>
      <x:c r="Y13" s="1" t="n"/>
      <x:c r="Z13" s="17" t="n"/>
    </x:row>
    <x:row r="14">
      <x:c r="W14" s="15" t="n"/>
      <x:c r="X14" s="44" t="inlineStr">
        <x:is>
          <x:t xml:space="preserve">Puissance du QP2</x:t>
        </x:is>
      </x:c>
      <x:c r="Y14" s="79" t="n"/>
      <x:c r="Z14" s="9" t="n"/>
    </x:row>
    <x:row r="15">
      <x:c r="S15" s="20" t="n"/>
      <x:c r="W15" s="15" t="n"/>
      <x:c r="X15" s="42" t="inlineStr">
        <x:is>
          <x:t xml:space="preserve">Nombre de Circuits</x:t>
        </x:is>
      </x:c>
      <x:c r="Y15" s="78" t="n"/>
      <x:c r="Z15" s="43" t="n">
        <x:v>7</x:v>
      </x:c>
    </x:row>
    <x:row r="16">
      <x:c r="S16" s="20" t="n"/>
      <x:c r="W16" s="15" t="n"/>
      <x:c r="X16" s="80" t="n"/>
      <x:c r="Y16" s="82" t="n"/>
      <x:c r="Z16" s="88" t="n"/>
    </x:row>
    <x:row r="17" s="13" customFormat="1" ht="15" customHeight="1">
      <x:c r="S17" s="20" t="n"/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S22" s="20" t="n"/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S23" s="20" t="n"/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</x:sheetData>
  <x:mergeCells>
    <x:mergeCell ref="Y24:Y25"/>
    <x:mergeCell ref="A1:Z4"/>
    <x:mergeCell ref="F11:G11"/>
    <x:mergeCell ref="D10:E10"/>
    <x:mergeCell ref="Z17:Z19"/>
    <x:mergeCell ref="Y9:Y10"/>
    <x:mergeCell ref="F10:G10"/>
    <x:mergeCell ref="O6:P6"/>
    <x:mergeCell ref="U6:V6"/>
    <x:mergeCell ref="X7:X8"/>
    <x:mergeCell ref="Z7:Z8"/>
    <x:mergeCell ref="S5:V5"/>
    <x:mergeCell ref="A12:C12"/>
    <x:mergeCell ref="Y11:Y12"/>
    <x:mergeCell ref="Y20:Y21"/>
    <x:mergeCell ref="F7:G7"/>
    <x:mergeCell ref="Z22:Z23"/>
    <x:mergeCell ref="X24:X25"/>
    <x:mergeCell ref="X17:Y19"/>
    <x:mergeCell ref="F12:G12"/>
    <x:mergeCell ref="X14:Z14"/>
    <x:mergeCell ref="D11:E11"/>
    <x:mergeCell ref="A8:C8"/>
    <x:mergeCell ref="Y22:Y23"/>
    <x:mergeCell ref="I7:I12"/>
    <x:mergeCell ref="D5:E6"/>
    <x:mergeCell ref="Y7:Y8"/>
    <x:mergeCell ref="X20:X21"/>
    <x:mergeCell ref="K5:N5"/>
    <x:mergeCell ref="Z20:Z21"/>
    <x:mergeCell ref="F8:G8"/>
    <x:mergeCell ref="A10:C10"/>
    <x:mergeCell ref="D7:E7"/>
    <x:mergeCell ref="M6:N6"/>
    <x:mergeCell ref="H5:J5"/>
    <x:mergeCell ref="Q6:R6"/>
    <x:mergeCell ref="X22:X23"/>
    <x:mergeCell ref="S6:T6"/>
    <x:mergeCell ref="X9:X10"/>
    <x:mergeCell ref="A9:C9"/>
    <x:mergeCell ref="O5:R5"/>
    <x:mergeCell ref="D9:E9"/>
    <x:mergeCell ref="F9:G9"/>
    <x:mergeCell ref="D12:E12"/>
    <x:mergeCell ref="D8:E8"/>
    <x:mergeCell ref="Z15:Z16"/>
    <x:mergeCell ref="A11:C11"/>
    <x:mergeCell ref="Z9:Z10"/>
    <x:mergeCell ref="A5:C6"/>
    <x:mergeCell ref="X5:Z6"/>
    <x:mergeCell ref="Z24:Z25"/>
    <x:mergeCell ref="F5:G6"/>
    <x:mergeCell ref="X15:Y16"/>
    <x:mergeCell ref="X11:X12"/>
    <x:mergeCell ref="K6:L6"/>
    <x:mergeCell ref="A7:C7"/>
    <x:mergeCell ref="Z11:Z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3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Tableau de Prises (1x16A 2P+T et 1x32A 3P+N+T)</x:t>
        </x:is>
      </x:c>
      <x:c r="B7" s="79" t="n"/>
      <x:c r="C7" s="9" t="n"/>
      <x:c r="D7" s="21" t="n">
        <x:v>1</x:v>
      </x:c>
      <x:c r="E7" s="9" t="n"/>
      <x:c r="F7" s="21" t="n">
        <x:v>0.9</x:v>
      </x:c>
      <x:c r="G7" s="9" t="n"/>
      <x:c r="H7" s="22">
        <x:f>0.1+(0.9/(D7*2))</x:f>
      </x:c>
      <x:c r="I7" s="22" t="n">
        <x:v>1</x:v>
      </x:c>
      <x:c r="J7" s="22" t="n">
        <x:v>1</x:v>
      </x:c>
      <x:c r="K7" s="11">
        <x:f>((230*16)/1000)+(((230*SQRT(3))*32*SQRT(3))/1000)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SUM(M7:M11)</x:f>
      </x:c>
      <x:c r="Z7" s="34" t="inlineStr">
        <x:is>
          <x:t xml:space="preserve">kW</x:t>
        </x:is>
      </x:c>
    </x:row>
    <x:row r="8">
      <x:c r="A8" s="33" t="inlineStr">
        <x:is>
          <x:t xml:space="preserve">Machine d'Injection 12</x:t>
        </x:is>
      </x:c>
      <x:c r="B8" s="79" t="n"/>
      <x:c r="C8" s="9" t="n"/>
      <x:c r="D8" s="21" t="n">
        <x:v>1</x:v>
      </x:c>
      <x:c r="E8" s="9" t="n"/>
      <x:c r="F8" s="21" t="n">
        <x:v>0.85</x:v>
      </x:c>
      <x:c r="G8" s="9" t="n"/>
      <x:c r="H8" s="22" t="n">
        <x:v>1</x:v>
      </x:c>
      <x:c r="I8" s="83" t="n"/>
      <x:c r="J8" s="22" t="n">
        <x:v>0.8</x:v>
      </x:c>
      <x:c r="K8" s="11">
        <x:f>S8*F8</x:f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 t="n">
        <x:v>85</x:v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Machine d'Injection 13</x:t>
        </x:is>
      </x:c>
      <x:c r="B9" s="79" t="n"/>
      <x:c r="C9" s="9" t="n"/>
      <x:c r="D9" s="21" t="n">
        <x:v>1</x:v>
      </x:c>
      <x:c r="E9" s="9" t="n"/>
      <x:c r="F9" s="21" t="n">
        <x:v>0.85</x:v>
      </x:c>
      <x:c r="G9" s="9" t="n"/>
      <x:c r="H9" s="22" t="n">
        <x:v>1</x:v>
      </x:c>
      <x:c r="I9" s="83" t="n"/>
      <x:c r="J9" s="22" t="n">
        <x:v>0.8</x:v>
      </x:c>
      <x:c r="K9" s="11">
        <x:f>S9*F9</x:f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 t="n">
        <x:v>85</x:v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SUM(Q7:Q11)</x:f>
      </x:c>
      <x:c r="Z9" s="34" t="inlineStr">
        <x:is>
          <x:t xml:space="preserve">kVar</x:t>
        </x:is>
      </x:c>
    </x:row>
    <x:row r="10">
      <x:c r="A10" s="33" t="inlineStr">
        <x:is>
          <x:t xml:space="preserve">Machine d'Injection 15</x:t>
        </x:is>
      </x:c>
      <x:c r="B10" s="79" t="n"/>
      <x:c r="C10" s="9" t="n"/>
      <x:c r="D10" s="21" t="n">
        <x:v>1</x:v>
      </x:c>
      <x:c r="E10" s="9" t="n"/>
      <x:c r="F10" s="21" t="n">
        <x:v>0.85</x:v>
      </x:c>
      <x:c r="G10" s="9" t="n"/>
      <x:c r="H10" s="22" t="n">
        <x:v>1</x:v>
      </x:c>
      <x:c r="I10" s="83" t="n"/>
      <x:c r="J10" s="22" t="n">
        <x:v>0.8</x:v>
      </x:c>
      <x:c r="K10" s="11">
        <x:f>S10*F10</x:f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 t="n">
        <x:v>85</x:v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Machine d'Injection 16</x:t>
        </x:is>
      </x:c>
      <x:c r="B11" s="79" t="n"/>
      <x:c r="C11" s="9" t="n"/>
      <x:c r="D11" s="21" t="n">
        <x:v>1</x:v>
      </x:c>
      <x:c r="E11" s="9" t="n"/>
      <x:c r="F11" s="21" t="n">
        <x:v>0.85</x:v>
      </x:c>
      <x:c r="G11" s="9" t="n"/>
      <x:c r="H11" s="22" t="n">
        <x:v>1</x:v>
      </x:c>
      <x:c r="I11" s="88" t="n"/>
      <x:c r="J11" s="22" t="n">
        <x:v>0.8</x:v>
      </x:c>
      <x:c r="K11" s="11">
        <x:f>S11*F11</x:f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 t="n">
        <x:v>85</x:v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SUM(U7:U11)</x:f>
      </x:c>
      <x:c r="Z11" s="87" t="inlineStr">
        <x:is>
          <x:t xml:space="preserve">kVA</x:t>
        </x:is>
      </x:c>
    </x:row>
    <x:row r="12">
      <x:c r="W12" s="15" t="n"/>
      <x:c r="X12" s="80" t="n"/>
      <x:c r="Y12" s="80" t="n"/>
      <x:c r="Z12" s="82" t="n"/>
    </x:row>
    <x:row r="13">
      <x:c r="W13" s="15" t="n"/>
      <x:c r="X13" s="1" t="n"/>
      <x:c r="Y13" s="1" t="n"/>
      <x:c r="Z13" s="17" t="n"/>
    </x:row>
    <x:row r="14">
      <x:c r="S14" s="20" t="n"/>
      <x:c r="W14" s="15" t="n"/>
      <x:c r="X14" s="44" t="inlineStr">
        <x:is>
          <x:t xml:space="preserve">Puissance du QP3</x:t>
        </x:is>
      </x:c>
      <x:c r="Y14" s="79" t="n"/>
      <x:c r="Z14" s="9" t="n"/>
    </x:row>
    <x:row r="15">
      <x:c r="S15" s="20" t="n"/>
      <x:c r="W15" s="15" t="n"/>
      <x:c r="X15" s="42" t="inlineStr">
        <x:is>
          <x:t xml:space="preserve">Nombre de Circuits</x:t>
        </x:is>
      </x:c>
      <x:c r="Y15" s="78" t="n"/>
      <x:c r="Z15" s="43" t="n">
        <x:v>5</x:v>
      </x:c>
    </x:row>
    <x:row r="16">
      <x:c r="S16" s="20" t="n"/>
      <x:c r="W16" s="15" t="n"/>
      <x:c r="X16" s="80" t="n"/>
      <x:c r="Y16" s="82" t="n"/>
      <x:c r="Z16" s="88" t="n"/>
    </x:row>
    <x:row r="17" s="13" customFormat="1" ht="15" customHeight="1">
      <x:c r="S17" s="20" t="n"/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S22" s="20" t="n"/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</x:sheetData>
  <x:mergeCells>
    <x:mergeCell ref="Y24:Y25"/>
    <x:mergeCell ref="A1:Z4"/>
    <x:mergeCell ref="F11:G11"/>
    <x:mergeCell ref="D10:E10"/>
    <x:mergeCell ref="Z17:Z19"/>
    <x:mergeCell ref="Y9:Y10"/>
    <x:mergeCell ref="F10:G10"/>
    <x:mergeCell ref="O6:P6"/>
    <x:mergeCell ref="U6:V6"/>
    <x:mergeCell ref="X7:X8"/>
    <x:mergeCell ref="Z7:Z8"/>
    <x:mergeCell ref="S5:V5"/>
    <x:mergeCell ref="Y11:Y12"/>
    <x:mergeCell ref="Y20:Y21"/>
    <x:mergeCell ref="F7:G7"/>
    <x:mergeCell ref="Z22:Z23"/>
    <x:mergeCell ref="X24:X25"/>
    <x:mergeCell ref="X17:Y19"/>
    <x:mergeCell ref="X14:Z14"/>
    <x:mergeCell ref="D11:E11"/>
    <x:mergeCell ref="A8:C8"/>
    <x:mergeCell ref="Y22:Y23"/>
    <x:mergeCell ref="D5:E6"/>
    <x:mergeCell ref="Y7:Y8"/>
    <x:mergeCell ref="X20:X21"/>
    <x:mergeCell ref="K5:N5"/>
    <x:mergeCell ref="Z20:Z21"/>
    <x:mergeCell ref="F8:G8"/>
    <x:mergeCell ref="A10:C10"/>
    <x:mergeCell ref="D7:E7"/>
    <x:mergeCell ref="M6:N6"/>
    <x:mergeCell ref="H5:J5"/>
    <x:mergeCell ref="Q6:R6"/>
    <x:mergeCell ref="X22:X23"/>
    <x:mergeCell ref="S6:T6"/>
    <x:mergeCell ref="X9:X10"/>
    <x:mergeCell ref="A9:C9"/>
    <x:mergeCell ref="O5:R5"/>
    <x:mergeCell ref="D9:E9"/>
    <x:mergeCell ref="I7:I11"/>
    <x:mergeCell ref="F9:G9"/>
    <x:mergeCell ref="D8:E8"/>
    <x:mergeCell ref="Z15:Z16"/>
    <x:mergeCell ref="A11:C11"/>
    <x:mergeCell ref="Z9:Z10"/>
    <x:mergeCell ref="A5:C6"/>
    <x:mergeCell ref="X5:Z6"/>
    <x:mergeCell ref="Z24:Z25"/>
    <x:mergeCell ref="F5:G6"/>
    <x:mergeCell ref="X15:Y16"/>
    <x:mergeCell ref="X11:X12"/>
    <x:mergeCell ref="K6:L6"/>
    <x:mergeCell ref="A7:C7"/>
    <x:mergeCell ref="Z11:Z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4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Tableau de Prises (1x16A 2P+T et 1x32A 3P+N+T)</x:t>
        </x:is>
      </x:c>
      <x:c r="B7" s="79" t="n"/>
      <x:c r="C7" s="9" t="n"/>
      <x:c r="D7" s="21" t="n">
        <x:v>3</x:v>
      </x:c>
      <x:c r="E7" s="9" t="n"/>
      <x:c r="F7" s="21" t="n">
        <x:v>0.9</x:v>
      </x:c>
      <x:c r="G7" s="9" t="n"/>
      <x:c r="H7" s="22">
        <x:f>0.1+(0.9/(D7*2))</x:f>
      </x:c>
      <x:c r="I7" s="22" t="n">
        <x:v>1</x:v>
      </x:c>
      <x:c r="J7" s="22" t="n">
        <x:v>1</x:v>
      </x:c>
      <x:c r="K7" s="11">
        <x:f>((230*16)/1000)+(((230*SQRT(3))*32*SQRT(3))/1000)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SUM(M7:M16)</x:f>
      </x:c>
      <x:c r="Z7" s="34" t="inlineStr">
        <x:is>
          <x:t xml:space="preserve">kW</x:t>
        </x:is>
      </x:c>
    </x:row>
    <x:row r="8">
      <x:c r="A8" s="33" t="inlineStr">
        <x:is>
          <x:t xml:space="preserve">Pont Roulant</x:t>
        </x:is>
      </x:c>
      <x:c r="B8" s="79" t="n"/>
      <x:c r="C8" s="9" t="n"/>
      <x:c r="D8" s="21" t="n">
        <x:v>1</x:v>
      </x:c>
      <x:c r="E8" s="9" t="n"/>
      <x:c r="F8" s="21" t="n">
        <x:v>0.85</x:v>
      </x:c>
      <x:c r="G8" s="9" t="n"/>
      <x:c r="H8" s="22" t="n">
        <x:v>1</x:v>
      </x:c>
      <x:c r="I8" s="83" t="n"/>
      <x:c r="J8" s="22" t="n">
        <x:v>0.8</x:v>
      </x:c>
      <x:c r="K8" s="11" t="n">
        <x:v>1.863</x:v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>
        <x:f>K8/F8</x:f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Pompe à Eau 1</x:t>
        </x:is>
      </x:c>
      <x:c r="B9" s="79" t="n"/>
      <x:c r="C9" s="9" t="n"/>
      <x:c r="D9" s="21" t="n">
        <x:v>1</x:v>
      </x:c>
      <x:c r="E9" s="9" t="n"/>
      <x:c r="F9" s="21" t="n">
        <x:v>0.85</x:v>
      </x:c>
      <x:c r="G9" s="9" t="n"/>
      <x:c r="H9" s="22" t="n">
        <x:v>1</x:v>
      </x:c>
      <x:c r="I9" s="83" t="n"/>
      <x:c r="J9" s="22" t="n">
        <x:v>0.8</x:v>
      </x:c>
      <x:c r="K9" s="11" t="n">
        <x:v>1.491</x:v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>
        <x:f>K9/F9</x:f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SUM(Q7:Q16)</x:f>
      </x:c>
      <x:c r="Z9" s="34" t="inlineStr">
        <x:is>
          <x:t xml:space="preserve">kVar</x:t>
        </x:is>
      </x:c>
    </x:row>
    <x:row r="10">
      <x:c r="A10" s="33" t="inlineStr">
        <x:is>
          <x:t xml:space="preserve">Pompe à Eau 2</x:t>
        </x:is>
      </x:c>
      <x:c r="B10" s="79" t="n"/>
      <x:c r="C10" s="9" t="n"/>
      <x:c r="D10" s="21" t="n">
        <x:v>1</x:v>
      </x:c>
      <x:c r="E10" s="9" t="n"/>
      <x:c r="F10" s="21" t="n">
        <x:v>0.85</x:v>
      </x:c>
      <x:c r="G10" s="9" t="n"/>
      <x:c r="H10" s="22" t="n">
        <x:v>1</x:v>
      </x:c>
      <x:c r="I10" s="83" t="n"/>
      <x:c r="J10" s="22" t="n">
        <x:v>0.8</x:v>
      </x:c>
      <x:c r="K10" s="11" t="n">
        <x:v>1.491</x:v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>
        <x:f>K10/F10</x:f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Pompe à Eau 3</x:t>
        </x:is>
      </x:c>
      <x:c r="B11" s="79" t="n"/>
      <x:c r="C11" s="9" t="n"/>
      <x:c r="D11" s="21" t="n">
        <x:v>1</x:v>
      </x:c>
      <x:c r="E11" s="9" t="n"/>
      <x:c r="F11" s="21" t="n">
        <x:v>0.85</x:v>
      </x:c>
      <x:c r="G11" s="9" t="n"/>
      <x:c r="H11" s="22" t="n">
        <x:v>1</x:v>
      </x:c>
      <x:c r="I11" s="83" t="n"/>
      <x:c r="J11" s="22" t="n">
        <x:v>0.8</x:v>
      </x:c>
      <x:c r="K11" s="11" t="n">
        <x:v>1.491</x:v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>
        <x:f>K11/F11</x:f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SUM(U7:U16)</x:f>
      </x:c>
      <x:c r="Z11" s="87" t="inlineStr">
        <x:is>
          <x:t xml:space="preserve">kVA</x:t>
        </x:is>
      </x:c>
    </x:row>
    <x:row r="12">
      <x:c r="A12" s="33" t="inlineStr">
        <x:is>
          <x:t xml:space="preserve">Mélangeur</x:t>
        </x:is>
      </x:c>
      <x:c r="B12" s="79" t="n"/>
      <x:c r="C12" s="9" t="n"/>
      <x:c r="D12" s="21" t="n">
        <x:v>1</x:v>
      </x:c>
      <x:c r="E12" s="9" t="n"/>
      <x:c r="F12" s="21" t="n">
        <x:v>0.85</x:v>
      </x:c>
      <x:c r="G12" s="9" t="n"/>
      <x:c r="H12" s="22" t="n">
        <x:v>1</x:v>
      </x:c>
      <x:c r="I12" s="83" t="n"/>
      <x:c r="J12" s="22" t="n">
        <x:v>0.8</x:v>
      </x:c>
      <x:c r="K12" s="11">
        <x:f>S12*F12</x:f>
      </x:c>
      <x:c r="L12" s="67" t="inlineStr">
        <x:is>
          <x:t xml:space="preserve">kW</x:t>
        </x:is>
      </x:c>
      <x:c r="M12" s="11">
        <x:f>K12*D12*H12*I7*J12</x:f>
      </x:c>
      <x:c r="N12" s="67" t="inlineStr">
        <x:is>
          <x:t xml:space="preserve">kW</x:t>
        </x:is>
      </x:c>
      <x:c r="O12" s="8">
        <x:f>K12*TAN(ACOS(F12))</x:f>
      </x:c>
      <x:c r="P12" s="9" t="inlineStr">
        <x:is>
          <x:t xml:space="preserve">kVar</x:t>
        </x:is>
      </x:c>
      <x:c r="Q12" s="8">
        <x:f>(K12*TAN(ACOS(F12)))*D12*H12*I7*J12</x:f>
      </x:c>
      <x:c r="R12" s="9" t="inlineStr">
        <x:is>
          <x:t xml:space="preserve">kVar</x:t>
        </x:is>
      </x:c>
      <x:c r="S12" s="8" t="n">
        <x:v>15</x:v>
      </x:c>
      <x:c r="T12" s="9" t="inlineStr">
        <x:is>
          <x:t xml:space="preserve">kVA</x:t>
        </x:is>
      </x:c>
      <x:c r="U12" s="8">
        <x:f>S12*D12*H12*I7*J12</x:f>
      </x:c>
      <x:c r="V12" s="9" t="inlineStr">
        <x:is>
          <x:t xml:space="preserve">kVA</x:t>
        </x:is>
      </x:c>
      <x:c r="W12" s="15" t="n"/>
      <x:c r="X12" s="80" t="n"/>
      <x:c r="Y12" s="80" t="n"/>
      <x:c r="Z12" s="82" t="n"/>
    </x:row>
    <x:row r="13">
      <x:c r="A13" s="33" t="inlineStr">
        <x:is>
          <x:t xml:space="preserve">Réfrigérateur 1</x:t>
        </x:is>
      </x:c>
      <x:c r="B13" s="79" t="n"/>
      <x:c r="C13" s="9" t="n"/>
      <x:c r="D13" s="21" t="n">
        <x:v>1</x:v>
      </x:c>
      <x:c r="E13" s="9" t="n"/>
      <x:c r="F13" s="21" t="n">
        <x:v>0.85</x:v>
      </x:c>
      <x:c r="G13" s="9" t="n"/>
      <x:c r="H13" s="22" t="n">
        <x:v>1</x:v>
      </x:c>
      <x:c r="I13" s="83" t="n"/>
      <x:c r="J13" s="22" t="n">
        <x:v>0.8</x:v>
      </x:c>
      <x:c r="K13" s="11">
        <x:f>S13*F13</x:f>
      </x:c>
      <x:c r="L13" s="67" t="inlineStr">
        <x:is>
          <x:t xml:space="preserve">kW</x:t>
        </x:is>
      </x:c>
      <x:c r="M13" s="11">
        <x:f>K13*D13*H13*I7*J13</x:f>
      </x:c>
      <x:c r="N13" s="67" t="inlineStr">
        <x:is>
          <x:t xml:space="preserve">kW</x:t>
        </x:is>
      </x:c>
      <x:c r="O13" s="8">
        <x:f>K13*TAN(ACOS(F13))</x:f>
      </x:c>
      <x:c r="P13" s="9" t="inlineStr">
        <x:is>
          <x:t xml:space="preserve">kVar</x:t>
        </x:is>
      </x:c>
      <x:c r="Q13" s="8">
        <x:f>(K13*TAN(ACOS(F13)))*D13*H13*I7*J13</x:f>
      </x:c>
      <x:c r="R13" s="9" t="inlineStr">
        <x:is>
          <x:t xml:space="preserve">kVar</x:t>
        </x:is>
      </x:c>
      <x:c r="S13" s="8" t="n">
        <x:v>15</x:v>
      </x:c>
      <x:c r="T13" s="9" t="inlineStr">
        <x:is>
          <x:t xml:space="preserve">kVA</x:t>
        </x:is>
      </x:c>
      <x:c r="U13" s="8">
        <x:f>S13*D13*H13*I7*J13</x:f>
      </x:c>
      <x:c r="V13" s="9" t="inlineStr">
        <x:is>
          <x:t xml:space="preserve">kVA</x:t>
        </x:is>
      </x:c>
      <x:c r="W13" s="15" t="n"/>
      <x:c r="X13" s="1" t="n"/>
      <x:c r="Y13" s="1" t="n"/>
      <x:c r="Z13" s="17" t="n"/>
    </x:row>
    <x:row r="14">
      <x:c r="A14" s="33" t="inlineStr">
        <x:is>
          <x:t xml:space="preserve">Réfrigérateur 2</x:t>
        </x:is>
      </x:c>
      <x:c r="B14" s="79" t="n"/>
      <x:c r="C14" s="9" t="n"/>
      <x:c r="D14" s="21" t="n">
        <x:v>1</x:v>
      </x:c>
      <x:c r="E14" s="9" t="n"/>
      <x:c r="F14" s="21" t="n">
        <x:v>0.85</x:v>
      </x:c>
      <x:c r="G14" s="9" t="n"/>
      <x:c r="H14" s="22" t="n">
        <x:v>1</x:v>
      </x:c>
      <x:c r="I14" s="83" t="n"/>
      <x:c r="J14" s="22" t="n">
        <x:v>0.8</x:v>
      </x:c>
      <x:c r="K14" s="11">
        <x:f>S14*F14</x:f>
      </x:c>
      <x:c r="L14" s="67" t="inlineStr">
        <x:is>
          <x:t xml:space="preserve">kW</x:t>
        </x:is>
      </x:c>
      <x:c r="M14" s="11">
        <x:f>K14*D14*H14*I7*J14</x:f>
      </x:c>
      <x:c r="N14" s="67" t="inlineStr">
        <x:is>
          <x:t xml:space="preserve">kW</x:t>
        </x:is>
      </x:c>
      <x:c r="O14" s="8">
        <x:f>K14*TAN(ACOS(F14))</x:f>
      </x:c>
      <x:c r="P14" s="9" t="inlineStr">
        <x:is>
          <x:t xml:space="preserve">kVar</x:t>
        </x:is>
      </x:c>
      <x:c r="Q14" s="8">
        <x:f>(K14*TAN(ACOS(F14)))*D14*H14*I7*J14</x:f>
      </x:c>
      <x:c r="R14" s="9" t="inlineStr">
        <x:is>
          <x:t xml:space="preserve">kVar</x:t>
        </x:is>
      </x:c>
      <x:c r="S14" s="8" t="n">
        <x:v>15</x:v>
      </x:c>
      <x:c r="T14" s="9" t="inlineStr">
        <x:is>
          <x:t xml:space="preserve">kVA</x:t>
        </x:is>
      </x:c>
      <x:c r="U14" s="8">
        <x:f>S14*D14*H14*I7*J14</x:f>
      </x:c>
      <x:c r="V14" s="9" t="inlineStr">
        <x:is>
          <x:t xml:space="preserve">kVA</x:t>
        </x:is>
      </x:c>
      <x:c r="W14" s="15" t="n"/>
      <x:c r="X14" s="44" t="inlineStr">
        <x:is>
          <x:t xml:space="preserve">Puissance du QP4</x:t>
        </x:is>
      </x:c>
      <x:c r="Y14" s="79" t="n"/>
      <x:c r="Z14" s="9" t="n"/>
    </x:row>
    <x:row r="15">
      <x:c r="A15" s="33" t="inlineStr">
        <x:is>
          <x:t xml:space="preserve">Réfrigérateur 3</x:t>
        </x:is>
      </x:c>
      <x:c r="B15" s="79" t="n"/>
      <x:c r="C15" s="9" t="n"/>
      <x:c r="D15" s="21" t="n">
        <x:v>1</x:v>
      </x:c>
      <x:c r="E15" s="9" t="n"/>
      <x:c r="F15" s="21" t="n">
        <x:v>0.85</x:v>
      </x:c>
      <x:c r="G15" s="9" t="n"/>
      <x:c r="H15" s="22" t="n">
        <x:v>1</x:v>
      </x:c>
      <x:c r="I15" s="83" t="n"/>
      <x:c r="J15" s="22" t="n">
        <x:v>0.8</x:v>
      </x:c>
      <x:c r="K15" s="11">
        <x:f>S15*F15</x:f>
      </x:c>
      <x:c r="L15" s="67" t="inlineStr">
        <x:is>
          <x:t xml:space="preserve">kW</x:t>
        </x:is>
      </x:c>
      <x:c r="M15" s="11">
        <x:f>K15*D15*H15*I7*J15</x:f>
      </x:c>
      <x:c r="N15" s="67" t="inlineStr">
        <x:is>
          <x:t xml:space="preserve">kW</x:t>
        </x:is>
      </x:c>
      <x:c r="O15" s="8">
        <x:f>K15*TAN(ACOS(F15))</x:f>
      </x:c>
      <x:c r="P15" s="9" t="inlineStr">
        <x:is>
          <x:t xml:space="preserve">kVar</x:t>
        </x:is>
      </x:c>
      <x:c r="Q15" s="8">
        <x:f>(K15*TAN(ACOS(F15)))*D15*H15*I7*J15</x:f>
      </x:c>
      <x:c r="R15" s="9" t="inlineStr">
        <x:is>
          <x:t xml:space="preserve">kVar</x:t>
        </x:is>
      </x:c>
      <x:c r="S15" s="8" t="n">
        <x:v>15</x:v>
      </x:c>
      <x:c r="T15" s="9" t="inlineStr">
        <x:is>
          <x:t xml:space="preserve">kVA</x:t>
        </x:is>
      </x:c>
      <x:c r="U15" s="8">
        <x:f>S15*D15*H15*I7*J15</x:f>
      </x:c>
      <x:c r="V15" s="9" t="inlineStr">
        <x:is>
          <x:t xml:space="preserve">kVA</x:t>
        </x:is>
      </x:c>
      <x:c r="W15" s="15" t="n"/>
      <x:c r="X15" s="42" t="inlineStr">
        <x:is>
          <x:t xml:space="preserve">Nombre de Circuits</x:t>
        </x:is>
      </x:c>
      <x:c r="Y15" s="78" t="n"/>
      <x:c r="Z15" s="43" t="n">
        <x:v>13</x:v>
      </x:c>
    </x:row>
    <x:row r="16">
      <x:c r="A16" s="33" t="inlineStr">
        <x:is>
          <x:t xml:space="preserve">Broyeur</x:t>
        </x:is>
      </x:c>
      <x:c r="B16" s="79" t="n"/>
      <x:c r="C16" s="9" t="n"/>
      <x:c r="D16" s="21" t="n">
        <x:v>1</x:v>
      </x:c>
      <x:c r="E16" s="9" t="n"/>
      <x:c r="F16" s="21" t="n">
        <x:v>0.85</x:v>
      </x:c>
      <x:c r="G16" s="9" t="n"/>
      <x:c r="H16" s="22" t="n">
        <x:v>1</x:v>
      </x:c>
      <x:c r="I16" s="88" t="n"/>
      <x:c r="J16" s="22" t="n">
        <x:v>0.8</x:v>
      </x:c>
      <x:c r="K16" s="11">
        <x:f>S16*F16</x:f>
      </x:c>
      <x:c r="L16" s="67" t="inlineStr">
        <x:is>
          <x:t xml:space="preserve">kW</x:t>
        </x:is>
      </x:c>
      <x:c r="M16" s="11">
        <x:f>K16*D16*H16*I7*J16</x:f>
      </x:c>
      <x:c r="N16" s="67" t="inlineStr">
        <x:is>
          <x:t xml:space="preserve">kW</x:t>
        </x:is>
      </x:c>
      <x:c r="O16" s="8">
        <x:f>K16*TAN(ACOS(F16))</x:f>
      </x:c>
      <x:c r="P16" s="9" t="inlineStr">
        <x:is>
          <x:t xml:space="preserve">kVar</x:t>
        </x:is>
      </x:c>
      <x:c r="Q16" s="8">
        <x:f>(K16*TAN(ACOS(F16)))*D16*H16*I7*J16</x:f>
      </x:c>
      <x:c r="R16" s="9" t="inlineStr">
        <x:is>
          <x:t xml:space="preserve">kVar</x:t>
        </x:is>
      </x:c>
      <x:c r="S16" s="8" t="n">
        <x:v>70</x:v>
      </x:c>
      <x:c r="T16" s="9" t="inlineStr">
        <x:is>
          <x:t xml:space="preserve">kVA</x:t>
        </x:is>
      </x:c>
      <x:c r="U16" s="8">
        <x:f>S16*D16*H16*I7*J16</x:f>
      </x:c>
      <x:c r="V16" s="9" t="inlineStr">
        <x:is>
          <x:t xml:space="preserve">kVA</x:t>
        </x:is>
      </x:c>
      <x:c r="W16" s="15" t="n"/>
      <x:c r="X16" s="80" t="n"/>
      <x:c r="Y16" s="82" t="n"/>
      <x:c r="Z16" s="88" t="n"/>
    </x:row>
    <x:row r="17" s="13" customFormat="1" ht="15" customHeight="1">
      <x:c r="S17" s="20" t="n"/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S22" s="20" t="n"/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</x:sheetData>
  <x:mergeCells>
    <x:mergeCell ref="Y24:Y25"/>
    <x:mergeCell ref="A1:Z4"/>
    <x:mergeCell ref="F11:G11"/>
    <x:mergeCell ref="D10:E10"/>
    <x:mergeCell ref="Z17:Z19"/>
    <x:mergeCell ref="Y9:Y10"/>
    <x:mergeCell ref="F16:G16"/>
    <x:mergeCell ref="F10:G10"/>
    <x:mergeCell ref="O6:P6"/>
    <x:mergeCell ref="U6:V6"/>
    <x:mergeCell ref="X7:X8"/>
    <x:mergeCell ref="Z7:Z8"/>
    <x:mergeCell ref="S5:V5"/>
    <x:mergeCell ref="A12:C12"/>
    <x:mergeCell ref="Y11:Y12"/>
    <x:mergeCell ref="Y20:Y21"/>
    <x:mergeCell ref="F7:G7"/>
    <x:mergeCell ref="Z22:Z23"/>
    <x:mergeCell ref="X24:X25"/>
    <x:mergeCell ref="X17:Y19"/>
    <x:mergeCell ref="F12:G12"/>
    <x:mergeCell ref="X14:Z14"/>
    <x:mergeCell ref="F15:G15"/>
    <x:mergeCell ref="D13:E13"/>
    <x:mergeCell ref="A14:C14"/>
    <x:mergeCell ref="D11:E11"/>
    <x:mergeCell ref="A8:C8"/>
    <x:mergeCell ref="Y22:Y23"/>
    <x:mergeCell ref="D5:E6"/>
    <x:mergeCell ref="Y7:Y8"/>
    <x:mergeCell ref="X20:X21"/>
    <x:mergeCell ref="I7:I16"/>
    <x:mergeCell ref="K5:N5"/>
    <x:mergeCell ref="Z20:Z21"/>
    <x:mergeCell ref="F8:G8"/>
    <x:mergeCell ref="A10:C10"/>
    <x:mergeCell ref="D16:E16"/>
    <x:mergeCell ref="A13:C13"/>
    <x:mergeCell ref="D7:E7"/>
    <x:mergeCell ref="M6:N6"/>
    <x:mergeCell ref="H5:J5"/>
    <x:mergeCell ref="Q6:R6"/>
    <x:mergeCell ref="X22:X23"/>
    <x:mergeCell ref="S6:T6"/>
    <x:mergeCell ref="X9:X10"/>
    <x:mergeCell ref="A9:C9"/>
    <x:mergeCell ref="O5:R5"/>
    <x:mergeCell ref="F13:G13"/>
    <x:mergeCell ref="A15:C15"/>
    <x:mergeCell ref="D9:E9"/>
    <x:mergeCell ref="F9:G9"/>
    <x:mergeCell ref="D12:E12"/>
    <x:mergeCell ref="D8:E8"/>
    <x:mergeCell ref="Z15:Z16"/>
    <x:mergeCell ref="A11:C11"/>
    <x:mergeCell ref="Z9:Z10"/>
    <x:mergeCell ref="D15:E15"/>
    <x:mergeCell ref="A5:C6"/>
    <x:mergeCell ref="X5:Z6"/>
    <x:mergeCell ref="Z24:Z25"/>
    <x:mergeCell ref="F5:G6"/>
    <x:mergeCell ref="D14:E14"/>
    <x:mergeCell ref="F14:G14"/>
    <x:mergeCell ref="X15:Y16"/>
    <x:mergeCell ref="X11:X12"/>
    <x:mergeCell ref="K6:L6"/>
    <x:mergeCell ref="A7:C7"/>
    <x:mergeCell ref="Z11:Z12"/>
    <x:mergeCell ref="A16:C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5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Luminaire 3F Filippi S.p.A ref.21287</x:t>
        </x:is>
      </x:c>
      <x:c r="B7" s="79" t="n"/>
      <x:c r="C7" s="9" t="n"/>
      <x:c r="D7" s="21" t="n">
        <x:v>2</x:v>
      </x:c>
      <x:c r="E7" s="9" t="n"/>
      <x:c r="F7" s="21" t="n">
        <x:v>0.95</x:v>
      </x:c>
      <x:c r="G7" s="9" t="n"/>
      <x:c r="H7" s="5" t="n">
        <x:v>1</x:v>
      </x:c>
      <x:c r="I7" s="22" t="n">
        <x:v>1</x:v>
      </x:c>
      <x:c r="J7" s="22" t="n">
        <x:v>1</x:v>
      </x:c>
      <x:c r="K7" s="11">
        <x:f>(40/0.9)/1000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SUM(M7:M17)</x:f>
      </x:c>
      <x:c r="Z7" s="34" t="inlineStr">
        <x:is>
          <x:t xml:space="preserve">kW</x:t>
        </x:is>
      </x:c>
    </x:row>
    <x:row r="8">
      <x:c r="A8" s="33" t="inlineStr">
        <x:is>
          <x:t xml:space="preserve">Luminaire ERCO ref.32516000</x:t>
        </x:is>
      </x:c>
      <x:c r="B8" s="79" t="n"/>
      <x:c r="C8" s="9" t="n"/>
      <x:c r="D8" s="21" t="n">
        <x:v>1</x:v>
      </x:c>
      <x:c r="E8" s="9" t="n"/>
      <x:c r="F8" s="21" t="n">
        <x:v>0.95</x:v>
      </x:c>
      <x:c r="G8" s="9" t="n"/>
      <x:c r="H8" s="22" t="n">
        <x:v>1</x:v>
      </x:c>
      <x:c r="I8" s="83" t="n"/>
      <x:c r="J8" s="22" t="n">
        <x:v>1</x:v>
      </x:c>
      <x:c r="K8" s="11">
        <x:f>(26/0.9)/1000</x:f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>
        <x:f>K8/F8</x:f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Luminaire ERCO ref.87685000</x:t>
        </x:is>
      </x:c>
      <x:c r="B9" s="79" t="n"/>
      <x:c r="C9" s="9" t="n"/>
      <x:c r="D9" s="21" t="n">
        <x:v>3</x:v>
      </x:c>
      <x:c r="E9" s="9" t="n"/>
      <x:c r="F9" s="21" t="n">
        <x:v>0.95</x:v>
      </x:c>
      <x:c r="G9" s="9" t="n"/>
      <x:c r="H9" s="22" t="n">
        <x:v>1</x:v>
      </x:c>
      <x:c r="I9" s="83" t="n"/>
      <x:c r="J9" s="22" t="n">
        <x:v>1</x:v>
      </x:c>
      <x:c r="K9" s="11">
        <x:f>(11/0.9)/1000</x:f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>
        <x:f>K9/F9</x:f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SUM(Q7:Q17)</x:f>
      </x:c>
      <x:c r="Z9" s="34" t="inlineStr">
        <x:is>
          <x:t xml:space="preserve">kVar</x:t>
        </x:is>
      </x:c>
    </x:row>
    <x:row r="10">
      <x:c r="A10" s="33" t="inlineStr">
        <x:is>
          <x:t xml:space="preserve">Luminaire LEDVANCE ref.4058075062207</x:t>
        </x:is>
      </x:c>
      <x:c r="B10" s="79" t="n"/>
      <x:c r="C10" s="9" t="n"/>
      <x:c r="D10" s="21" t="n">
        <x:v>2</x:v>
      </x:c>
      <x:c r="E10" s="9" t="n"/>
      <x:c r="F10" s="21" t="n">
        <x:v>0.95</x:v>
      </x:c>
      <x:c r="G10" s="9" t="n"/>
      <x:c r="H10" s="22" t="n">
        <x:v>1</x:v>
      </x:c>
      <x:c r="I10" s="83" t="n"/>
      <x:c r="J10" s="22" t="n">
        <x:v>1</x:v>
      </x:c>
      <x:c r="K10" s="11">
        <x:f>(24/0.9)/1000</x:f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>
        <x:f>K10/F10</x:f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Luminaire LEDVANCE ref.4058075064003</x:t>
        </x:is>
      </x:c>
      <x:c r="B11" s="79" t="n"/>
      <x:c r="C11" s="9" t="n"/>
      <x:c r="D11" s="21" t="n">
        <x:v>36</x:v>
      </x:c>
      <x:c r="E11" s="9" t="n"/>
      <x:c r="F11" s="21" t="n">
        <x:v>0.95</x:v>
      </x:c>
      <x:c r="G11" s="9" t="n"/>
      <x:c r="H11" s="22" t="n">
        <x:v>1</x:v>
      </x:c>
      <x:c r="I11" s="83" t="n"/>
      <x:c r="J11" s="22" t="n">
        <x:v>1</x:v>
      </x:c>
      <x:c r="K11" s="11">
        <x:f>(22/0.9)/1000</x:f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>
        <x:f>K11/F11</x:f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SUM(U7:U17)</x:f>
      </x:c>
      <x:c r="Z11" s="87" t="inlineStr">
        <x:is>
          <x:t xml:space="preserve">kVA</x:t>
        </x:is>
      </x:c>
    </x:row>
    <x:row r="12">
      <x:c r="A12" s="33" t="inlineStr">
        <x:is>
          <x:t xml:space="preserve">Luminaire LEDVANCE ref.4058075079274</x:t>
        </x:is>
      </x:c>
      <x:c r="B12" s="79" t="n"/>
      <x:c r="C12" s="9" t="n"/>
      <x:c r="D12" s="21" t="n">
        <x:v>10</x:v>
      </x:c>
      <x:c r="E12" s="9" t="n"/>
      <x:c r="F12" s="21" t="n">
        <x:v>0.95</x:v>
      </x:c>
      <x:c r="G12" s="9" t="n"/>
      <x:c r="H12" s="22" t="n">
        <x:v>1</x:v>
      </x:c>
      <x:c r="I12" s="83" t="n"/>
      <x:c r="J12" s="22" t="n">
        <x:v>1</x:v>
      </x:c>
      <x:c r="K12" s="11">
        <x:f>(12/0.9)/1000</x:f>
      </x:c>
      <x:c r="L12" s="67" t="inlineStr">
        <x:is>
          <x:t xml:space="preserve">kW</x:t>
        </x:is>
      </x:c>
      <x:c r="M12" s="11">
        <x:f>K12*D12*H12*I7*J12</x:f>
      </x:c>
      <x:c r="N12" s="67" t="inlineStr">
        <x:is>
          <x:t xml:space="preserve">kW</x:t>
        </x:is>
      </x:c>
      <x:c r="O12" s="8">
        <x:f>K12*TAN(ACOS(F12))</x:f>
      </x:c>
      <x:c r="P12" s="9" t="inlineStr">
        <x:is>
          <x:t xml:space="preserve">kVar</x:t>
        </x:is>
      </x:c>
      <x:c r="Q12" s="8">
        <x:f>(K12*TAN(ACOS(F12)))*D12*H12*I7*J12</x:f>
      </x:c>
      <x:c r="R12" s="9" t="inlineStr">
        <x:is>
          <x:t xml:space="preserve">kVar</x:t>
        </x:is>
      </x:c>
      <x:c r="S12" s="8">
        <x:f>K12/F12</x:f>
      </x:c>
      <x:c r="T12" s="9" t="inlineStr">
        <x:is>
          <x:t xml:space="preserve">kVA</x:t>
        </x:is>
      </x:c>
      <x:c r="U12" s="8">
        <x:f>S12*D12*H12*I7*J12</x:f>
      </x:c>
      <x:c r="V12" s="9" t="inlineStr">
        <x:is>
          <x:t xml:space="preserve">kVA</x:t>
        </x:is>
      </x:c>
      <x:c r="W12" s="15" t="n"/>
      <x:c r="X12" s="80" t="n"/>
      <x:c r="Y12" s="80" t="n"/>
      <x:c r="Z12" s="82" t="n"/>
    </x:row>
    <x:row r="13">
      <x:c r="A13" s="33" t="inlineStr">
        <x:is>
          <x:t xml:space="preserve">Luminaire LEDVANCE ref.4058075079335</x:t>
        </x:is>
      </x:c>
      <x:c r="B13" s="79" t="n"/>
      <x:c r="C13" s="9" t="n"/>
      <x:c r="D13" s="21" t="n">
        <x:v>5</x:v>
      </x:c>
      <x:c r="E13" s="9" t="n"/>
      <x:c r="F13" s="21" t="n">
        <x:v>0.95</x:v>
      </x:c>
      <x:c r="G13" s="9" t="n"/>
      <x:c r="H13" s="22" t="n">
        <x:v>1</x:v>
      </x:c>
      <x:c r="I13" s="83" t="n"/>
      <x:c r="J13" s="22" t="n">
        <x:v>1</x:v>
      </x:c>
      <x:c r="K13" s="11">
        <x:f>(18/0.9)/1000</x:f>
      </x:c>
      <x:c r="L13" s="67" t="inlineStr">
        <x:is>
          <x:t xml:space="preserve">kW</x:t>
        </x:is>
      </x:c>
      <x:c r="M13" s="11">
        <x:f>K13*D13*H13*I7*J13</x:f>
      </x:c>
      <x:c r="N13" s="67" t="inlineStr">
        <x:is>
          <x:t xml:space="preserve">kW</x:t>
        </x:is>
      </x:c>
      <x:c r="O13" s="8">
        <x:f>K13*TAN(ACOS(F13))</x:f>
      </x:c>
      <x:c r="P13" s="9" t="inlineStr">
        <x:is>
          <x:t xml:space="preserve">kVar</x:t>
        </x:is>
      </x:c>
      <x:c r="Q13" s="8">
        <x:f>(K13*TAN(ACOS(F13)))*D13*H13*I7*J13</x:f>
      </x:c>
      <x:c r="R13" s="9" t="inlineStr">
        <x:is>
          <x:t xml:space="preserve">kVar</x:t>
        </x:is>
      </x:c>
      <x:c r="S13" s="8">
        <x:f>K13/F13</x:f>
      </x:c>
      <x:c r="T13" s="9" t="inlineStr">
        <x:is>
          <x:t xml:space="preserve">kVA</x:t>
        </x:is>
      </x:c>
      <x:c r="U13" s="8">
        <x:f>S13*D13*H13*I7*J13</x:f>
      </x:c>
      <x:c r="V13" s="9" t="inlineStr">
        <x:is>
          <x:t xml:space="preserve">kVA</x:t>
        </x:is>
      </x:c>
      <x:c r="W13" s="15" t="n"/>
      <x:c r="X13" s="1" t="n"/>
      <x:c r="Y13" s="1" t="n"/>
      <x:c r="Z13" s="17" t="n"/>
    </x:row>
    <x:row r="14">
      <x:c r="A14" s="33" t="inlineStr">
        <x:is>
          <x:t xml:space="preserve">Luminaire LEDVANCE ref.4099854000201</x:t>
        </x:is>
      </x:c>
      <x:c r="B14" s="79" t="n"/>
      <x:c r="C14" s="9" t="n"/>
      <x:c r="D14" s="21" t="n">
        <x:v>3</x:v>
      </x:c>
      <x:c r="E14" s="9" t="n"/>
      <x:c r="F14" s="21" t="n">
        <x:v>0.95</x:v>
      </x:c>
      <x:c r="G14" s="9" t="n"/>
      <x:c r="H14" s="22" t="n">
        <x:v>1</x:v>
      </x:c>
      <x:c r="I14" s="83" t="n"/>
      <x:c r="J14" s="22" t="n">
        <x:v>1</x:v>
      </x:c>
      <x:c r="K14" s="11">
        <x:f>(4/0.9)/1000</x:f>
      </x:c>
      <x:c r="L14" s="67" t="inlineStr">
        <x:is>
          <x:t xml:space="preserve">kW</x:t>
        </x:is>
      </x:c>
      <x:c r="M14" s="11">
        <x:f>K14*D14*H14*I7*J14</x:f>
      </x:c>
      <x:c r="N14" s="67" t="inlineStr">
        <x:is>
          <x:t xml:space="preserve">kW</x:t>
        </x:is>
      </x:c>
      <x:c r="O14" s="8">
        <x:f>K14*TAN(ACOS(F14))</x:f>
      </x:c>
      <x:c r="P14" s="9" t="inlineStr">
        <x:is>
          <x:t xml:space="preserve">kVar</x:t>
        </x:is>
      </x:c>
      <x:c r="Q14" s="8">
        <x:f>(K14*TAN(ACOS(F14)))*D14*H14*I7*J14</x:f>
      </x:c>
      <x:c r="R14" s="9" t="inlineStr">
        <x:is>
          <x:t xml:space="preserve">kVar</x:t>
        </x:is>
      </x:c>
      <x:c r="S14" s="8">
        <x:f>K14/F14</x:f>
      </x:c>
      <x:c r="T14" s="9" t="inlineStr">
        <x:is>
          <x:t xml:space="preserve">kVA</x:t>
        </x:is>
      </x:c>
      <x:c r="U14" s="8">
        <x:f>S14*D14*H14*I7*J14</x:f>
      </x:c>
      <x:c r="V14" s="9" t="inlineStr">
        <x:is>
          <x:t xml:space="preserve">kVA</x:t>
        </x:is>
      </x:c>
      <x:c r="W14" s="15" t="n"/>
      <x:c r="X14" s="44" t="inlineStr">
        <x:is>
          <x:t xml:space="preserve">Puissance du QP5</x:t>
        </x:is>
      </x:c>
      <x:c r="Y14" s="79" t="n"/>
      <x:c r="Z14" s="9" t="n"/>
    </x:row>
    <x:row r="15">
      <x:c r="A15" s="33" t="inlineStr">
        <x:is>
          <x:t xml:space="preserve">Prises Monophasées - Legrand_ Série Mosaic - Prise 3x2P+T à alvéoles inclinés 45º-connexion automatique - noir mat</x:t>
        </x:is>
      </x:c>
      <x:c r="B15" s="79" t="n"/>
      <x:c r="C15" s="9" t="n"/>
      <x:c r="D15" s="21" t="n">
        <x:v>36</x:v>
      </x:c>
      <x:c r="E15" s="9" t="n"/>
      <x:c r="F15" s="21" t="n">
        <x:v>0.9</x:v>
      </x:c>
      <x:c r="G15" s="9" t="n"/>
      <x:c r="H15" s="18">
        <x:f>0.1+(0.9/D15)</x:f>
      </x:c>
      <x:c r="I15" s="83" t="n"/>
      <x:c r="J15" s="22" t="n">
        <x:v>1</x:v>
      </x:c>
      <x:c r="K15" s="11" t="n">
        <x:v>3.68</x:v>
      </x:c>
      <x:c r="L15" s="67" t="inlineStr">
        <x:is>
          <x:t xml:space="preserve">kW</x:t>
        </x:is>
      </x:c>
      <x:c r="M15" s="11">
        <x:f>K15*D15*H15*I7*J15</x:f>
      </x:c>
      <x:c r="N15" s="67" t="inlineStr">
        <x:is>
          <x:t xml:space="preserve">kW</x:t>
        </x:is>
      </x:c>
      <x:c r="O15" s="8">
        <x:f>K15*TAN(ACOS(F15))</x:f>
      </x:c>
      <x:c r="P15" s="9" t="inlineStr">
        <x:is>
          <x:t xml:space="preserve">kVar</x:t>
        </x:is>
      </x:c>
      <x:c r="Q15" s="8">
        <x:f>(K15*TAN(ACOS(F15)))*D15*H15*I7*J15</x:f>
      </x:c>
      <x:c r="R15" s="9" t="inlineStr">
        <x:is>
          <x:t xml:space="preserve">kVar</x:t>
        </x:is>
      </x:c>
      <x:c r="S15" s="8">
        <x:f>K15/F15</x:f>
      </x:c>
      <x:c r="T15" s="9" t="inlineStr">
        <x:is>
          <x:t xml:space="preserve">kVA</x:t>
        </x:is>
      </x:c>
      <x:c r="U15" s="8">
        <x:f>S15*D15*H15*I7*J15</x:f>
      </x:c>
      <x:c r="V15" s="9" t="inlineStr">
        <x:is>
          <x:t xml:space="preserve">kVA</x:t>
        </x:is>
      </x:c>
      <x:c r="W15" s="15" t="n"/>
      <x:c r="X15" s="42" t="inlineStr">
        <x:is>
          <x:t xml:space="preserve">Nombre de Circuits</x:t>
        </x:is>
      </x:c>
      <x:c r="Y15" s="78" t="n"/>
      <x:c r="Z15" s="43" t="n">
        <x:v>14</x:v>
      </x:c>
    </x:row>
    <x:row r="16">
      <x:c r="A16" s="33" t="inlineStr">
        <x:is>
          <x:t xml:space="preserve">Prise Schuko avec Obturateur - EFAPEL 3700 ref.37132C</x:t>
        </x:is>
      </x:c>
      <x:c r="B16" s="79" t="n"/>
      <x:c r="C16" s="9" t="n"/>
      <x:c r="D16" s="21" t="n">
        <x:v>7</x:v>
      </x:c>
      <x:c r="E16" s="9" t="n"/>
      <x:c r="F16" s="21" t="n">
        <x:v>0.9</x:v>
      </x:c>
      <x:c r="G16" s="9" t="n"/>
      <x:c r="H16" s="18">
        <x:f>0.1+(0.9/D16)</x:f>
      </x:c>
      <x:c r="I16" s="83" t="n"/>
      <x:c r="J16" s="22" t="n">
        <x:v>1</x:v>
      </x:c>
      <x:c r="K16" s="11" t="n">
        <x:v>3.68</x:v>
      </x:c>
      <x:c r="L16" s="67" t="inlineStr">
        <x:is>
          <x:t xml:space="preserve">kW</x:t>
        </x:is>
      </x:c>
      <x:c r="M16" s="11">
        <x:f>K16*D16*H16*I7*J16</x:f>
      </x:c>
      <x:c r="N16" s="67" t="inlineStr">
        <x:is>
          <x:t xml:space="preserve">kW</x:t>
        </x:is>
      </x:c>
      <x:c r="O16" s="8">
        <x:f>K16*TAN(ACOS(F16))</x:f>
      </x:c>
      <x:c r="P16" s="9" t="inlineStr">
        <x:is>
          <x:t xml:space="preserve">kVar</x:t>
        </x:is>
      </x:c>
      <x:c r="Q16" s="8">
        <x:f>(K16*TAN(ACOS(F16)))*D16*H16*I7*J16</x:f>
      </x:c>
      <x:c r="R16" s="9" t="inlineStr">
        <x:is>
          <x:t xml:space="preserve">kVar</x:t>
        </x:is>
      </x:c>
      <x:c r="S16" s="8">
        <x:f>K16/F16</x:f>
      </x:c>
      <x:c r="T16" s="9" t="inlineStr">
        <x:is>
          <x:t xml:space="preserve">kVA</x:t>
        </x:is>
      </x:c>
      <x:c r="U16" s="8">
        <x:f>S16*D16*H16*I7*J16</x:f>
      </x:c>
      <x:c r="V16" s="9" t="inlineStr">
        <x:is>
          <x:t xml:space="preserve">kVA</x:t>
        </x:is>
      </x:c>
      <x:c r="W16" s="15" t="n"/>
      <x:c r="X16" s="80" t="n"/>
      <x:c r="Y16" s="82" t="n"/>
      <x:c r="Z16" s="88" t="n"/>
    </x:row>
    <x:row r="17" s="13" customFormat="1" ht="15" customHeight="1">
      <x:c r="A17" s="33" t="inlineStr">
        <x:is>
          <x:t xml:space="preserve">Module AVAC Vulcano MS-R32 10,6UE</x:t>
        </x:is>
      </x:c>
      <x:c r="B17" s="79" t="n"/>
      <x:c r="C17" s="9" t="n"/>
      <x:c r="D17" s="21" t="n">
        <x:v>1</x:v>
      </x:c>
      <x:c r="E17" s="9" t="n"/>
      <x:c r="F17" s="21" t="n">
        <x:v>1</x:v>
      </x:c>
      <x:c r="G17" s="9" t="n"/>
      <x:c r="H17" s="22" t="n">
        <x:v>1</x:v>
      </x:c>
      <x:c r="I17" s="88" t="n"/>
      <x:c r="J17" s="22" t="n">
        <x:v>0.8</x:v>
      </x:c>
      <x:c r="K17" s="11" t="n">
        <x:v>14.1</x:v>
      </x:c>
      <x:c r="L17" s="67" t="inlineStr">
        <x:is>
          <x:t xml:space="preserve">kW</x:t>
        </x:is>
      </x:c>
      <x:c r="M17" s="11">
        <x:f>K17*D17*H17*I7*J17</x:f>
      </x:c>
      <x:c r="N17" s="67" t="inlineStr">
        <x:is>
          <x:t xml:space="preserve">kW</x:t>
        </x:is>
      </x:c>
      <x:c r="O17" s="8">
        <x:f>K17*TAN(ACOS(F17))</x:f>
      </x:c>
      <x:c r="P17" s="9" t="inlineStr">
        <x:is>
          <x:t xml:space="preserve">kVar</x:t>
        </x:is>
      </x:c>
      <x:c r="Q17" s="8">
        <x:f>(K17*TAN(ACOS(F17)))*D17*H17*I7*J17</x:f>
      </x:c>
      <x:c r="R17" s="9" t="inlineStr">
        <x:is>
          <x:t xml:space="preserve">kVar</x:t>
        </x:is>
      </x:c>
      <x:c r="S17" s="8">
        <x:f>K17/F17</x:f>
      </x:c>
      <x:c r="T17" s="9" t="inlineStr">
        <x:is>
          <x:t xml:space="preserve">kVA</x:t>
        </x:is>
      </x:c>
      <x:c r="U17" s="8">
        <x:f>S17*D17*H17*I7*J17</x:f>
      </x:c>
      <x:c r="V17" s="9" t="inlineStr">
        <x:is>
          <x:t xml:space="preserve">kVA</x:t>
        </x:is>
      </x:c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S22" s="20" t="n"/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S23" s="20" t="n"/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</x:sheetData>
  <x:mergeCells>
    <x:mergeCell ref="Y24:Y25"/>
    <x:mergeCell ref="A1:Z4"/>
    <x:mergeCell ref="F11:G11"/>
    <x:mergeCell ref="Y9:Y10"/>
    <x:mergeCell ref="Z17:Z19"/>
    <x:mergeCell ref="D10:E10"/>
    <x:mergeCell ref="F16:G16"/>
    <x:mergeCell ref="F10:G10"/>
    <x:mergeCell ref="O6:P6"/>
    <x:mergeCell ref="U6:V6"/>
    <x:mergeCell ref="I7:I17"/>
    <x:mergeCell ref="X7:X8"/>
    <x:mergeCell ref="Z7:Z8"/>
    <x:mergeCell ref="S5:V5"/>
    <x:mergeCell ref="A12:C12"/>
    <x:mergeCell ref="Y11:Y12"/>
    <x:mergeCell ref="Y20:Y21"/>
    <x:mergeCell ref="F7:G7"/>
    <x:mergeCell ref="Z22:Z23"/>
    <x:mergeCell ref="X24:X25"/>
    <x:mergeCell ref="X17:Y19"/>
    <x:mergeCell ref="F12:G12"/>
    <x:mergeCell ref="X14:Z14"/>
    <x:mergeCell ref="F15:G15"/>
    <x:mergeCell ref="D13:E13"/>
    <x:mergeCell ref="A14:C14"/>
    <x:mergeCell ref="D11:E11"/>
    <x:mergeCell ref="A8:C8"/>
    <x:mergeCell ref="Y22:Y23"/>
    <x:mergeCell ref="A17:C17"/>
    <x:mergeCell ref="D5:E6"/>
    <x:mergeCell ref="Y7:Y8"/>
    <x:mergeCell ref="D17:E17"/>
    <x:mergeCell ref="X20:X21"/>
    <x:mergeCell ref="F17:G17"/>
    <x:mergeCell ref="K5:N5"/>
    <x:mergeCell ref="Z20:Z21"/>
    <x:mergeCell ref="F8:G8"/>
    <x:mergeCell ref="A10:C10"/>
    <x:mergeCell ref="D16:E16"/>
    <x:mergeCell ref="A13:C13"/>
    <x:mergeCell ref="D7:E7"/>
    <x:mergeCell ref="M6:N6"/>
    <x:mergeCell ref="H5:J5"/>
    <x:mergeCell ref="Q6:R6"/>
    <x:mergeCell ref="X22:X23"/>
    <x:mergeCell ref="S6:T6"/>
    <x:mergeCell ref="X9:X10"/>
    <x:mergeCell ref="A9:C9"/>
    <x:mergeCell ref="O5:R5"/>
    <x:mergeCell ref="F13:G13"/>
    <x:mergeCell ref="A15:C15"/>
    <x:mergeCell ref="D9:E9"/>
    <x:mergeCell ref="F9:G9"/>
    <x:mergeCell ref="D12:E12"/>
    <x:mergeCell ref="D8:E8"/>
    <x:mergeCell ref="Z15:Z16"/>
    <x:mergeCell ref="A11:C11"/>
    <x:mergeCell ref="Z9:Z10"/>
    <x:mergeCell ref="D15:E15"/>
    <x:mergeCell ref="A5:C6"/>
    <x:mergeCell ref="X5:Z6"/>
    <x:mergeCell ref="Z24:Z25"/>
    <x:mergeCell ref="F5:G6"/>
    <x:mergeCell ref="D14:E14"/>
    <x:mergeCell ref="X15:Y16"/>
    <x:mergeCell ref="F14:G14"/>
    <x:mergeCell ref="X11:X12"/>
    <x:mergeCell ref="K6:L6"/>
    <x:mergeCell ref="A7:C7"/>
    <x:mergeCell ref="Z11:Z12"/>
    <x:mergeCell ref="A16:C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6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Luminaire LEDVANCE ref.4058075079274</x:t>
        </x:is>
      </x:c>
      <x:c r="B7" s="79" t="n"/>
      <x:c r="C7" s="9" t="n"/>
      <x:c r="D7" s="21" t="n">
        <x:v>6</x:v>
      </x:c>
      <x:c r="E7" s="9" t="n"/>
      <x:c r="F7" s="21" t="n">
        <x:v>0.95</x:v>
      </x:c>
      <x:c r="G7" s="9" t="n"/>
      <x:c r="H7" s="5" t="n">
        <x:v>1</x:v>
      </x:c>
      <x:c r="I7" s="22" t="n">
        <x:v>1</x:v>
      </x:c>
      <x:c r="J7" s="22" t="n">
        <x:v>1</x:v>
      </x:c>
      <x:c r="K7" s="11">
        <x:f>(12/0.9)/1000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SUM(M7:M15)</x:f>
      </x:c>
      <x:c r="Z7" s="34" t="inlineStr">
        <x:is>
          <x:t xml:space="preserve">kW</x:t>
        </x:is>
      </x:c>
    </x:row>
    <x:row r="8">
      <x:c r="A8" s="33" t="inlineStr">
        <x:is>
          <x:t xml:space="preserve">Luminaire LEDVANCE ref.4058075114005</x:t>
        </x:is>
      </x:c>
      <x:c r="B8" s="79" t="n"/>
      <x:c r="C8" s="9" t="n"/>
      <x:c r="D8" s="21" t="n">
        <x:v>8</x:v>
      </x:c>
      <x:c r="E8" s="9" t="n"/>
      <x:c r="F8" s="21" t="n">
        <x:v>0.95</x:v>
      </x:c>
      <x:c r="G8" s="9" t="n"/>
      <x:c r="H8" s="22" t="n">
        <x:v>1</x:v>
      </x:c>
      <x:c r="I8" s="83" t="n"/>
      <x:c r="J8" s="22" t="n">
        <x:v>1</x:v>
      </x:c>
      <x:c r="K8" s="11">
        <x:f>(30/0.9)/1000</x:f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>
        <x:f>K8/F8</x:f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Luminaire LEDVANCE ref.4058075364561</x:t>
        </x:is>
      </x:c>
      <x:c r="B9" s="79" t="n"/>
      <x:c r="C9" s="9" t="n"/>
      <x:c r="D9" s="21" t="n">
        <x:v>2</x:v>
      </x:c>
      <x:c r="E9" s="9" t="n"/>
      <x:c r="F9" s="21" t="n">
        <x:v>0.95</x:v>
      </x:c>
      <x:c r="G9" s="9" t="n"/>
      <x:c r="H9" s="22" t="n">
        <x:v>1</x:v>
      </x:c>
      <x:c r="I9" s="83" t="n"/>
      <x:c r="J9" s="22" t="n">
        <x:v>1</x:v>
      </x:c>
      <x:c r="K9" s="11">
        <x:f>(43/0.9)/1000</x:f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>
        <x:f>K9/F9</x:f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SUM(Q7:Q15)</x:f>
      </x:c>
      <x:c r="Z9" s="34" t="inlineStr">
        <x:is>
          <x:t xml:space="preserve">kVar</x:t>
        </x:is>
      </x:c>
    </x:row>
    <x:row r="10">
      <x:c r="A10" s="33" t="inlineStr">
        <x:is>
          <x:t xml:space="preserve">Luminaire LEDVANCE ref.4058075440616</x:t>
        </x:is>
      </x:c>
      <x:c r="B10" s="79" t="n"/>
      <x:c r="C10" s="9" t="n"/>
      <x:c r="D10" s="21" t="n">
        <x:v>6</x:v>
      </x:c>
      <x:c r="E10" s="9" t="n"/>
      <x:c r="F10" s="21" t="n">
        <x:v>0.95</x:v>
      </x:c>
      <x:c r="G10" s="9" t="n"/>
      <x:c r="H10" s="22" t="n">
        <x:v>1</x:v>
      </x:c>
      <x:c r="I10" s="83" t="n"/>
      <x:c r="J10" s="22" t="n">
        <x:v>1</x:v>
      </x:c>
      <x:c r="K10" s="11">
        <x:f>(36/0.9)/1000</x:f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>
        <x:f>K10/F10</x:f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Luminaire LEDVANCE ref.4058075617865</x:t>
        </x:is>
      </x:c>
      <x:c r="B11" s="79" t="n"/>
      <x:c r="C11" s="9" t="n"/>
      <x:c r="D11" s="21" t="n">
        <x:v>8</x:v>
      </x:c>
      <x:c r="E11" s="9" t="n"/>
      <x:c r="F11" s="21" t="n">
        <x:v>0.95</x:v>
      </x:c>
      <x:c r="G11" s="9" t="n"/>
      <x:c r="H11" s="22" t="n">
        <x:v>1</x:v>
      </x:c>
      <x:c r="I11" s="83" t="n"/>
      <x:c r="J11" s="22" t="n">
        <x:v>1</x:v>
      </x:c>
      <x:c r="K11" s="11">
        <x:f>(13/0.9)/1000</x:f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>
        <x:f>K11/F11</x:f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SUM(U7:U15)</x:f>
      </x:c>
      <x:c r="Z11" s="87" t="inlineStr">
        <x:is>
          <x:t xml:space="preserve">kVA</x:t>
        </x:is>
      </x:c>
    </x:row>
    <x:row r="12">
      <x:c r="A12" s="33" t="inlineStr">
        <x:is>
          <x:t xml:space="preserve">Luminaire LEDVANCE ref.4058075618084</x:t>
        </x:is>
      </x:c>
      <x:c r="B12" s="79" t="n"/>
      <x:c r="C12" s="9" t="n"/>
      <x:c r="D12" s="21" t="n">
        <x:v>28</x:v>
      </x:c>
      <x:c r="E12" s="9" t="n"/>
      <x:c r="F12" s="21" t="n">
        <x:v>0.95</x:v>
      </x:c>
      <x:c r="G12" s="9" t="n"/>
      <x:c r="H12" s="22" t="n">
        <x:v>1</x:v>
      </x:c>
      <x:c r="I12" s="83" t="n"/>
      <x:c r="J12" s="22" t="n">
        <x:v>1</x:v>
      </x:c>
      <x:c r="K12" s="11">
        <x:f>(24/0.9)/1000</x:f>
      </x:c>
      <x:c r="L12" s="67" t="inlineStr">
        <x:is>
          <x:t xml:space="preserve">kW</x:t>
        </x:is>
      </x:c>
      <x:c r="M12" s="11">
        <x:f>K12*D12*H12*I7*J12</x:f>
      </x:c>
      <x:c r="N12" s="67" t="inlineStr">
        <x:is>
          <x:t xml:space="preserve">kW</x:t>
        </x:is>
      </x:c>
      <x:c r="O12" s="8">
        <x:f>K12*TAN(ACOS(F12))</x:f>
      </x:c>
      <x:c r="P12" s="9" t="inlineStr">
        <x:is>
          <x:t xml:space="preserve">kVar</x:t>
        </x:is>
      </x:c>
      <x:c r="Q12" s="8">
        <x:f>(K12*TAN(ACOS(F12)))*D12*H12*I7*J12</x:f>
      </x:c>
      <x:c r="R12" s="9" t="inlineStr">
        <x:is>
          <x:t xml:space="preserve">kVar</x:t>
        </x:is>
      </x:c>
      <x:c r="S12" s="8">
        <x:f>K12/F12</x:f>
      </x:c>
      <x:c r="T12" s="9" t="inlineStr">
        <x:is>
          <x:t xml:space="preserve">kVA</x:t>
        </x:is>
      </x:c>
      <x:c r="U12" s="8">
        <x:f>S12*D12*H12*I7*J12</x:f>
      </x:c>
      <x:c r="V12" s="9" t="inlineStr">
        <x:is>
          <x:t xml:space="preserve">kVA</x:t>
        </x:is>
      </x:c>
      <x:c r="W12" s="15" t="n"/>
      <x:c r="X12" s="80" t="n"/>
      <x:c r="Y12" s="80" t="n"/>
      <x:c r="Z12" s="82" t="n"/>
    </x:row>
    <x:row r="13">
      <x:c r="A13" s="33" t="inlineStr">
        <x:is>
          <x:t xml:space="preserve">Prises Monophasées - Legrand_ Série Mosaic - Prise 3x2P+T à alvéoles inclinés 45º-connexion automatique - noir mat</x:t>
        </x:is>
      </x:c>
      <x:c r="B13" s="79" t="n"/>
      <x:c r="C13" s="9" t="n"/>
      <x:c r="D13" s="21" t="n">
        <x:v>12</x:v>
      </x:c>
      <x:c r="E13" s="9" t="n"/>
      <x:c r="F13" s="21" t="n">
        <x:v>0.9</x:v>
      </x:c>
      <x:c r="G13" s="9" t="n"/>
      <x:c r="H13" s="18">
        <x:f>0.1+(0.9/D13)</x:f>
      </x:c>
      <x:c r="I13" s="83" t="n"/>
      <x:c r="J13" s="22" t="n">
        <x:v>1</x:v>
      </x:c>
      <x:c r="K13" s="11" t="n">
        <x:v>3.68</x:v>
      </x:c>
      <x:c r="L13" s="67" t="inlineStr">
        <x:is>
          <x:t xml:space="preserve">kW</x:t>
        </x:is>
      </x:c>
      <x:c r="M13" s="11">
        <x:f>K13*D13*H13*I7*J13</x:f>
      </x:c>
      <x:c r="N13" s="67" t="inlineStr">
        <x:is>
          <x:t xml:space="preserve">kW</x:t>
        </x:is>
      </x:c>
      <x:c r="O13" s="8">
        <x:f>K13*TAN(ACOS(F13))</x:f>
      </x:c>
      <x:c r="P13" s="9" t="inlineStr">
        <x:is>
          <x:t xml:space="preserve">kVar</x:t>
        </x:is>
      </x:c>
      <x:c r="Q13" s="8">
        <x:f>(K13*TAN(ACOS(F13)))*D13*H13*I7*J13</x:f>
      </x:c>
      <x:c r="R13" s="9" t="inlineStr">
        <x:is>
          <x:t xml:space="preserve">kVar</x:t>
        </x:is>
      </x:c>
      <x:c r="S13" s="8">
        <x:f>K13/F13</x:f>
      </x:c>
      <x:c r="T13" s="9" t="inlineStr">
        <x:is>
          <x:t xml:space="preserve">kVA</x:t>
        </x:is>
      </x:c>
      <x:c r="U13" s="8">
        <x:f>S13*D13*H13*I7*J13</x:f>
      </x:c>
      <x:c r="V13" s="9" t="inlineStr">
        <x:is>
          <x:t xml:space="preserve">kVA</x:t>
        </x:is>
      </x:c>
      <x:c r="W13" s="15" t="n"/>
      <x:c r="X13" s="1" t="n"/>
      <x:c r="Y13" s="1" t="n"/>
      <x:c r="Z13" s="17" t="n"/>
    </x:row>
    <x:row r="14">
      <x:c r="A14" s="33" t="inlineStr">
        <x:is>
          <x:t xml:space="preserve">Prise Schuko avec Obturateur - EFAPEL 3700 ref.37132C</x:t>
        </x:is>
      </x:c>
      <x:c r="B14" s="79" t="n"/>
      <x:c r="C14" s="9" t="n"/>
      <x:c r="D14" s="21" t="n">
        <x:v>13</x:v>
      </x:c>
      <x:c r="E14" s="9" t="n"/>
      <x:c r="F14" s="21" t="n">
        <x:v>0.9</x:v>
      </x:c>
      <x:c r="G14" s="9" t="n"/>
      <x:c r="H14" s="18">
        <x:f>0.1+(0.9/D14)</x:f>
      </x:c>
      <x:c r="I14" s="83" t="n"/>
      <x:c r="J14" s="22" t="n">
        <x:v>1</x:v>
      </x:c>
      <x:c r="K14" s="11" t="n">
        <x:v>3.68</x:v>
      </x:c>
      <x:c r="L14" s="67" t="inlineStr">
        <x:is>
          <x:t xml:space="preserve">kW</x:t>
        </x:is>
      </x:c>
      <x:c r="M14" s="11">
        <x:f>K14*D14*H14*I7*J14</x:f>
      </x:c>
      <x:c r="N14" s="67" t="inlineStr">
        <x:is>
          <x:t xml:space="preserve">kW</x:t>
        </x:is>
      </x:c>
      <x:c r="O14" s="8">
        <x:f>K14*TAN(ACOS(F14))</x:f>
      </x:c>
      <x:c r="P14" s="9" t="inlineStr">
        <x:is>
          <x:t xml:space="preserve">kVar</x:t>
        </x:is>
      </x:c>
      <x:c r="Q14" s="8">
        <x:f>(K14*TAN(ACOS(F14)))*D14*H14*I7*J14</x:f>
      </x:c>
      <x:c r="R14" s="9" t="inlineStr">
        <x:is>
          <x:t xml:space="preserve">kVar</x:t>
        </x:is>
      </x:c>
      <x:c r="S14" s="8">
        <x:f>K14/F14</x:f>
      </x:c>
      <x:c r="T14" s="9" t="inlineStr">
        <x:is>
          <x:t xml:space="preserve">kVA</x:t>
        </x:is>
      </x:c>
      <x:c r="U14" s="8">
        <x:f>S14*D14*H14*I7*J14</x:f>
      </x:c>
      <x:c r="V14" s="9" t="inlineStr">
        <x:is>
          <x:t xml:space="preserve">kVA</x:t>
        </x:is>
      </x:c>
      <x:c r="W14" s="15" t="n"/>
      <x:c r="X14" s="44" t="inlineStr">
        <x:is>
          <x:t xml:space="preserve">Puissance du QP6</x:t>
        </x:is>
      </x:c>
      <x:c r="Y14" s="79" t="n"/>
      <x:c r="Z14" s="9" t="n"/>
    </x:row>
    <x:row r="15">
      <x:c r="A15" s="33" t="inlineStr">
        <x:is>
          <x:t xml:space="preserve">Module AVAC Vulcano MS-R32 10,6UE</x:t>
        </x:is>
      </x:c>
      <x:c r="B15" s="79" t="n"/>
      <x:c r="C15" s="9" t="n"/>
      <x:c r="D15" s="21" t="n">
        <x:v>1</x:v>
      </x:c>
      <x:c r="E15" s="9" t="n"/>
      <x:c r="F15" s="21" t="n">
        <x:v>1</x:v>
      </x:c>
      <x:c r="G15" s="9" t="n"/>
      <x:c r="H15" s="22" t="n">
        <x:v>1</x:v>
      </x:c>
      <x:c r="I15" s="88" t="n"/>
      <x:c r="J15" s="22" t="n">
        <x:v>0.8</x:v>
      </x:c>
      <x:c r="K15" s="11" t="n">
        <x:v>14.1</x:v>
      </x:c>
      <x:c r="L15" s="67" t="inlineStr">
        <x:is>
          <x:t xml:space="preserve">kW</x:t>
        </x:is>
      </x:c>
      <x:c r="M15" s="11">
        <x:f>K15*D15*H15*I7*J15</x:f>
      </x:c>
      <x:c r="N15" s="67" t="inlineStr">
        <x:is>
          <x:t xml:space="preserve">kW</x:t>
        </x:is>
      </x:c>
      <x:c r="O15" s="8">
        <x:f>K15*TAN(ACOS(F15))</x:f>
      </x:c>
      <x:c r="P15" s="9" t="inlineStr">
        <x:is>
          <x:t xml:space="preserve">kVar</x:t>
        </x:is>
      </x:c>
      <x:c r="Q15" s="8">
        <x:f>(K15*TAN(ACOS(F15)))*D15*H15*I7*J15</x:f>
      </x:c>
      <x:c r="R15" s="9" t="inlineStr">
        <x:is>
          <x:t xml:space="preserve">kVar</x:t>
        </x:is>
      </x:c>
      <x:c r="S15" s="8">
        <x:f>K15/F15</x:f>
      </x:c>
      <x:c r="T15" s="9" t="inlineStr">
        <x:is>
          <x:t xml:space="preserve">kVA</x:t>
        </x:is>
      </x:c>
      <x:c r="U15" s="8">
        <x:f>S15*D15*H15*I7*J15</x:f>
      </x:c>
      <x:c r="V15" s="9" t="inlineStr">
        <x:is>
          <x:t xml:space="preserve">kVA</x:t>
        </x:is>
      </x:c>
      <x:c r="W15" s="15" t="n"/>
      <x:c r="X15" s="42" t="inlineStr">
        <x:is>
          <x:t xml:space="preserve">Nombre de Circuits</x:t>
        </x:is>
      </x:c>
      <x:c r="Y15" s="78" t="n"/>
      <x:c r="Z15" s="43" t="n">
        <x:v>10</x:v>
      </x:c>
    </x:row>
    <x:row r="16">
      <x:c r="S16" s="20" t="n"/>
      <x:c r="W16" s="15" t="n"/>
      <x:c r="X16" s="80" t="n"/>
      <x:c r="Y16" s="82" t="n"/>
      <x:c r="Z16" s="88" t="n"/>
    </x:row>
    <x:row r="17" s="13" customFormat="1" ht="15" customHeight="1">
      <x:c r="S17" s="20" t="n"/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</x:sheetData>
  <x:mergeCells>
    <x:mergeCell ref="Y24:Y25"/>
    <x:mergeCell ref="A1:Z4"/>
    <x:mergeCell ref="F11:G11"/>
    <x:mergeCell ref="D10:E10"/>
    <x:mergeCell ref="Z17:Z19"/>
    <x:mergeCell ref="Y9:Y10"/>
    <x:mergeCell ref="F10:G10"/>
    <x:mergeCell ref="O6:P6"/>
    <x:mergeCell ref="U6:V6"/>
    <x:mergeCell ref="X7:X8"/>
    <x:mergeCell ref="Z7:Z8"/>
    <x:mergeCell ref="S5:V5"/>
    <x:mergeCell ref="A12:C12"/>
    <x:mergeCell ref="Y11:Y12"/>
    <x:mergeCell ref="Y20:Y21"/>
    <x:mergeCell ref="F7:G7"/>
    <x:mergeCell ref="Z22:Z23"/>
    <x:mergeCell ref="X24:X25"/>
    <x:mergeCell ref="X17:Y19"/>
    <x:mergeCell ref="F12:G12"/>
    <x:mergeCell ref="X14:Z14"/>
    <x:mergeCell ref="F15:G15"/>
    <x:mergeCell ref="D13:E13"/>
    <x:mergeCell ref="A14:C14"/>
    <x:mergeCell ref="D11:E11"/>
    <x:mergeCell ref="A8:C8"/>
    <x:mergeCell ref="Y22:Y23"/>
    <x:mergeCell ref="D5:E6"/>
    <x:mergeCell ref="Y7:Y8"/>
    <x:mergeCell ref="X20:X21"/>
    <x:mergeCell ref="K5:N5"/>
    <x:mergeCell ref="Z20:Z21"/>
    <x:mergeCell ref="F8:G8"/>
    <x:mergeCell ref="A10:C10"/>
    <x:mergeCell ref="A13:C13"/>
    <x:mergeCell ref="I7:I15"/>
    <x:mergeCell ref="D7:E7"/>
    <x:mergeCell ref="M6:N6"/>
    <x:mergeCell ref="H5:J5"/>
    <x:mergeCell ref="Q6:R6"/>
    <x:mergeCell ref="X22:X23"/>
    <x:mergeCell ref="S6:T6"/>
    <x:mergeCell ref="A9:C9"/>
    <x:mergeCell ref="X9:X10"/>
    <x:mergeCell ref="O5:R5"/>
    <x:mergeCell ref="F13:G13"/>
    <x:mergeCell ref="A15:C15"/>
    <x:mergeCell ref="D9:E9"/>
    <x:mergeCell ref="F9:G9"/>
    <x:mergeCell ref="D12:E12"/>
    <x:mergeCell ref="D8:E8"/>
    <x:mergeCell ref="Z15:Z16"/>
    <x:mergeCell ref="A11:C11"/>
    <x:mergeCell ref="Z9:Z10"/>
    <x:mergeCell ref="D15:E15"/>
    <x:mergeCell ref="A5:C6"/>
    <x:mergeCell ref="X5:Z6"/>
    <x:mergeCell ref="Z24:Z25"/>
    <x:mergeCell ref="F5:G6"/>
    <x:mergeCell ref="D14:E14"/>
    <x:mergeCell ref="X15:Y16"/>
    <x:mergeCell ref="F14:G14"/>
    <x:mergeCell ref="X11:X12"/>
    <x:mergeCell ref="K6:L6"/>
    <x:mergeCell ref="A7:C7"/>
    <x:mergeCell ref="Z11:Z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2" tint="-0.49998"/>
  </x:sheetPr>
  <x:sheetFormatPr baseColWidth="8" defaultRowHeight="15"/>
  <x:cols>
    <x:col min="23" max="23" width="4.140625" style="13" customWidth="1"/>
    <x:col min="24" max="24" width="10.140625" style="13" customWidth="1"/>
    <x:col min="27" max="27" width="0" style="13" hidden="1" customWidth="0"/>
  </x:cols>
  <x:sheetData>
    <x:row r="1" s="13" customFormat="1" ht="15" customHeight="1">
      <x:c r="A1" s="47" t="inlineStr">
        <x:is>
          <x:t xml:space="preserve">Tableau de Puissances - Tableau Partiel 7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Luminaire 3F Filippi S.p.A ref.21287</x:t>
        </x:is>
      </x:c>
      <x:c r="B7" s="79" t="n"/>
      <x:c r="C7" s="9" t="n"/>
      <x:c r="D7" s="21" t="n">
        <x:v>2</x:v>
      </x:c>
      <x:c r="E7" s="9" t="n"/>
      <x:c r="F7" s="21" t="n">
        <x:v>0.95</x:v>
      </x:c>
      <x:c r="G7" s="9" t="n"/>
      <x:c r="H7" s="5" t="n">
        <x:v>1</x:v>
      </x:c>
      <x:c r="I7" s="22" t="n">
        <x:v>1</x:v>
      </x:c>
      <x:c r="J7" s="22" t="n">
        <x:v>1</x:v>
      </x:c>
      <x:c r="K7" s="11">
        <x:f>(40/0.9)/1000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SUM(M7:M17)</x:f>
      </x:c>
      <x:c r="Z7" s="34" t="inlineStr">
        <x:is>
          <x:t xml:space="preserve">kW</x:t>
        </x:is>
      </x:c>
    </x:row>
    <x:row r="8">
      <x:c r="A8" s="33" t="inlineStr">
        <x:is>
          <x:t xml:space="preserve">Luminaire ERCO ref.32516000</x:t>
        </x:is>
      </x:c>
      <x:c r="B8" s="79" t="n"/>
      <x:c r="C8" s="9" t="n"/>
      <x:c r="D8" s="21" t="n">
        <x:v>1</x:v>
      </x:c>
      <x:c r="E8" s="9" t="n"/>
      <x:c r="F8" s="21" t="n">
        <x:v>0.95</x:v>
      </x:c>
      <x:c r="G8" s="9" t="n"/>
      <x:c r="H8" s="22" t="n">
        <x:v>1</x:v>
      </x:c>
      <x:c r="I8" s="83" t="n"/>
      <x:c r="J8" s="22" t="n">
        <x:v>1</x:v>
      </x:c>
      <x:c r="K8" s="11">
        <x:f>(26/0.9)/1000</x:f>
      </x:c>
      <x:c r="L8" s="67" t="inlineStr">
        <x:is>
          <x:t xml:space="preserve">kW</x:t>
        </x:is>
      </x:c>
      <x:c r="M8" s="11">
        <x:f>K8*D8*H8*I7*J8</x:f>
      </x:c>
      <x:c r="N8" s="67" t="inlineStr">
        <x:is>
          <x:t xml:space="preserve">kW</x:t>
        </x:is>
      </x:c>
      <x:c r="O8" s="8">
        <x:f>K8*TAN(ACOS(F8))</x:f>
      </x:c>
      <x:c r="P8" s="9" t="inlineStr">
        <x:is>
          <x:t xml:space="preserve">kVar</x:t>
        </x:is>
      </x:c>
      <x:c r="Q8" s="8">
        <x:f>(K8*TAN(ACOS(F8)))*D8*H8*I7*J8</x:f>
      </x:c>
      <x:c r="R8" s="9" t="inlineStr">
        <x:is>
          <x:t xml:space="preserve">kVar</x:t>
        </x:is>
      </x:c>
      <x:c r="S8" s="8">
        <x:f>K8/F8</x:f>
      </x:c>
      <x:c r="T8" s="9" t="inlineStr">
        <x:is>
          <x:t xml:space="preserve">kVA</x:t>
        </x:is>
      </x:c>
      <x:c r="U8" s="8">
        <x:f>S8*D8*H8*I7*J8</x:f>
      </x:c>
      <x:c r="V8" s="9" t="inlineStr">
        <x:is>
          <x:t xml:space="preserve">kVA</x:t>
        </x:is>
      </x:c>
      <x:c r="W8" s="15" t="n"/>
      <x:c r="X8" s="80" t="n"/>
      <x:c r="Y8" s="84" t="n"/>
      <x:c r="Z8" s="85" t="n"/>
    </x:row>
    <x:row r="9">
      <x:c r="A9" s="33" t="inlineStr">
        <x:is>
          <x:t xml:space="preserve">Luminaire ERCO ref.87685000</x:t>
        </x:is>
      </x:c>
      <x:c r="B9" s="79" t="n"/>
      <x:c r="C9" s="9" t="n"/>
      <x:c r="D9" s="21" t="n">
        <x:v>3</x:v>
      </x:c>
      <x:c r="E9" s="9" t="n"/>
      <x:c r="F9" s="21" t="n">
        <x:v>0.95</x:v>
      </x:c>
      <x:c r="G9" s="9" t="n"/>
      <x:c r="H9" s="22" t="n">
        <x:v>1</x:v>
      </x:c>
      <x:c r="I9" s="83" t="n"/>
      <x:c r="J9" s="22" t="n">
        <x:v>1</x:v>
      </x:c>
      <x:c r="K9" s="11">
        <x:f>(11/0.9)/1000</x:f>
      </x:c>
      <x:c r="L9" s="67" t="inlineStr">
        <x:is>
          <x:t xml:space="preserve">kW</x:t>
        </x:is>
      </x:c>
      <x:c r="M9" s="11">
        <x:f>K9*D9*H9*I7*J9</x:f>
      </x:c>
      <x:c r="N9" s="67" t="inlineStr">
        <x:is>
          <x:t xml:space="preserve">kW</x:t>
        </x:is>
      </x:c>
      <x:c r="O9" s="8">
        <x:f>K9*TAN(ACOS(F9))</x:f>
      </x:c>
      <x:c r="P9" s="9" t="inlineStr">
        <x:is>
          <x:t xml:space="preserve">kVar</x:t>
        </x:is>
      </x:c>
      <x:c r="Q9" s="8">
        <x:f>(K9*TAN(ACOS(F9)))*D9*H9*I7*J9</x:f>
      </x:c>
      <x:c r="R9" s="9" t="inlineStr">
        <x:is>
          <x:t xml:space="preserve">kVar</x:t>
        </x:is>
      </x:c>
      <x:c r="S9" s="8">
        <x:f>K9/F9</x:f>
      </x:c>
      <x:c r="T9" s="9" t="inlineStr">
        <x:is>
          <x:t xml:space="preserve">kVA</x:t>
        </x:is>
      </x:c>
      <x:c r="U9" s="8">
        <x:f>S9*D9*H9*I7*J9</x:f>
      </x:c>
      <x:c r="V9" s="9" t="inlineStr">
        <x:is>
          <x:t xml:space="preserve">kVA</x:t>
        </x:is>
      </x:c>
      <x:c r="W9" s="15" t="n"/>
      <x:c r="X9" s="32" t="inlineStr">
        <x:is>
          <x:t xml:space="preserve">Puissance Réactive</x:t>
        </x:is>
      </x:c>
      <x:c r="Y9" s="36">
        <x:f>SUM(Q7:Q17)</x:f>
      </x:c>
      <x:c r="Z9" s="34" t="inlineStr">
        <x:is>
          <x:t xml:space="preserve">kVar</x:t>
        </x:is>
      </x:c>
    </x:row>
    <x:row r="10">
      <x:c r="A10" s="33" t="inlineStr">
        <x:is>
          <x:t xml:space="preserve">Luminaire LEDVANCE ref.4058075062207</x:t>
        </x:is>
      </x:c>
      <x:c r="B10" s="79" t="n"/>
      <x:c r="C10" s="9" t="n"/>
      <x:c r="D10" s="21" t="n">
        <x:v>2</x:v>
      </x:c>
      <x:c r="E10" s="9" t="n"/>
      <x:c r="F10" s="21" t="n">
        <x:v>0.95</x:v>
      </x:c>
      <x:c r="G10" s="9" t="n"/>
      <x:c r="H10" s="22" t="n">
        <x:v>1</x:v>
      </x:c>
      <x:c r="I10" s="83" t="n"/>
      <x:c r="J10" s="22" t="n">
        <x:v>1</x:v>
      </x:c>
      <x:c r="K10" s="11">
        <x:f>(24/0.9)/1000</x:f>
      </x:c>
      <x:c r="L10" s="67" t="inlineStr">
        <x:is>
          <x:t xml:space="preserve">kW</x:t>
        </x:is>
      </x:c>
      <x:c r="M10" s="11">
        <x:f>K10*D10*H10*I7*J10</x:f>
      </x:c>
      <x:c r="N10" s="67" t="inlineStr">
        <x:is>
          <x:t xml:space="preserve">kW</x:t>
        </x:is>
      </x:c>
      <x:c r="O10" s="8">
        <x:f>K10*TAN(ACOS(F10))</x:f>
      </x:c>
      <x:c r="P10" s="9" t="inlineStr">
        <x:is>
          <x:t xml:space="preserve">kVar</x:t>
        </x:is>
      </x:c>
      <x:c r="Q10" s="8">
        <x:f>(K10*TAN(ACOS(F10)))*D10*H10*I7*J10</x:f>
      </x:c>
      <x:c r="R10" s="9" t="inlineStr">
        <x:is>
          <x:t xml:space="preserve">kVar</x:t>
        </x:is>
      </x:c>
      <x:c r="S10" s="8">
        <x:f>K10/F10</x:f>
      </x:c>
      <x:c r="T10" s="9" t="inlineStr">
        <x:is>
          <x:t xml:space="preserve">kVA</x:t>
        </x:is>
      </x:c>
      <x:c r="U10" s="8">
        <x:f>S10*D10*H10*I7*J10</x:f>
      </x:c>
      <x:c r="V10" s="9" t="inlineStr">
        <x:is>
          <x:t xml:space="preserve">kVA</x:t>
        </x:is>
      </x:c>
      <x:c r="W10" s="15" t="n"/>
      <x:c r="X10" s="80" t="n"/>
      <x:c r="Y10" s="84" t="n"/>
      <x:c r="Z10" s="85" t="n"/>
    </x:row>
    <x:row r="11">
      <x:c r="A11" s="33" t="inlineStr">
        <x:is>
          <x:t xml:space="preserve">Luminaire LEDVANCE ref.4058075064003</x:t>
        </x:is>
      </x:c>
      <x:c r="B11" s="79" t="n"/>
      <x:c r="C11" s="9" t="n"/>
      <x:c r="D11" s="21" t="n">
        <x:v>36</x:v>
      </x:c>
      <x:c r="E11" s="9" t="n"/>
      <x:c r="F11" s="21" t="n">
        <x:v>0.95</x:v>
      </x:c>
      <x:c r="G11" s="9" t="n"/>
      <x:c r="H11" s="22" t="n">
        <x:v>1</x:v>
      </x:c>
      <x:c r="I11" s="83" t="n"/>
      <x:c r="J11" s="22" t="n">
        <x:v>1</x:v>
      </x:c>
      <x:c r="K11" s="11">
        <x:f>(22/0.9)/1000</x:f>
      </x:c>
      <x:c r="L11" s="67" t="inlineStr">
        <x:is>
          <x:t xml:space="preserve">kW</x:t>
        </x:is>
      </x:c>
      <x:c r="M11" s="11">
        <x:f>K11*D11*H11*I7*J11</x:f>
      </x:c>
      <x:c r="N11" s="67" t="inlineStr">
        <x:is>
          <x:t xml:space="preserve">kW</x:t>
        </x:is>
      </x:c>
      <x:c r="O11" s="8">
        <x:f>K11*TAN(ACOS(F11))</x:f>
      </x:c>
      <x:c r="P11" s="9" t="inlineStr">
        <x:is>
          <x:t xml:space="preserve">kVar</x:t>
        </x:is>
      </x:c>
      <x:c r="Q11" s="8">
        <x:f>(K11*TAN(ACOS(F11)))*D11*H11*I7*J11</x:f>
      </x:c>
      <x:c r="R11" s="9" t="inlineStr">
        <x:is>
          <x:t xml:space="preserve">kVar</x:t>
        </x:is>
      </x:c>
      <x:c r="S11" s="8">
        <x:f>K11/F11</x:f>
      </x:c>
      <x:c r="T11" s="9" t="inlineStr">
        <x:is>
          <x:t xml:space="preserve">kVA</x:t>
        </x:is>
      </x:c>
      <x:c r="U11" s="8">
        <x:f>S11*D11*H11*I7*J11</x:f>
      </x:c>
      <x:c r="V11" s="9" t="inlineStr">
        <x:is>
          <x:t xml:space="preserve">kVA</x:t>
        </x:is>
      </x:c>
      <x:c r="W11" s="15" t="n"/>
      <x:c r="X11" s="32" t="inlineStr">
        <x:is>
          <x:t xml:space="preserve">Puissance Apparente</x:t>
        </x:is>
      </x:c>
      <x:c r="Y11" s="86">
        <x:f>SUM(U7:U17)</x:f>
      </x:c>
      <x:c r="Z11" s="87" t="inlineStr">
        <x:is>
          <x:t xml:space="preserve">kVA</x:t>
        </x:is>
      </x:c>
    </x:row>
    <x:row r="12">
      <x:c r="A12" s="33" t="inlineStr">
        <x:is>
          <x:t xml:space="preserve">Luminaire LEDVANCE ref.4058075079274</x:t>
        </x:is>
      </x:c>
      <x:c r="B12" s="79" t="n"/>
      <x:c r="C12" s="9" t="n"/>
      <x:c r="D12" s="21" t="n">
        <x:v>10</x:v>
      </x:c>
      <x:c r="E12" s="9" t="n"/>
      <x:c r="F12" s="21" t="n">
        <x:v>0.95</x:v>
      </x:c>
      <x:c r="G12" s="9" t="n"/>
      <x:c r="H12" s="22" t="n">
        <x:v>1</x:v>
      </x:c>
      <x:c r="I12" s="83" t="n"/>
      <x:c r="J12" s="22" t="n">
        <x:v>1</x:v>
      </x:c>
      <x:c r="K12" s="11">
        <x:f>(12/0.9)/1000</x:f>
      </x:c>
      <x:c r="L12" s="67" t="inlineStr">
        <x:is>
          <x:t xml:space="preserve">kW</x:t>
        </x:is>
      </x:c>
      <x:c r="M12" s="11">
        <x:f>K12*D12*H12*I7*J12</x:f>
      </x:c>
      <x:c r="N12" s="67" t="inlineStr">
        <x:is>
          <x:t xml:space="preserve">kW</x:t>
        </x:is>
      </x:c>
      <x:c r="O12" s="8">
        <x:f>K12*TAN(ACOS(F12))</x:f>
      </x:c>
      <x:c r="P12" s="9" t="inlineStr">
        <x:is>
          <x:t xml:space="preserve">kVar</x:t>
        </x:is>
      </x:c>
      <x:c r="Q12" s="8">
        <x:f>(K12*TAN(ACOS(F12)))*D12*H12*I7*J12</x:f>
      </x:c>
      <x:c r="R12" s="9" t="inlineStr">
        <x:is>
          <x:t xml:space="preserve">kVar</x:t>
        </x:is>
      </x:c>
      <x:c r="S12" s="8">
        <x:f>K12/F12</x:f>
      </x:c>
      <x:c r="T12" s="9" t="inlineStr">
        <x:is>
          <x:t xml:space="preserve">kVA</x:t>
        </x:is>
      </x:c>
      <x:c r="U12" s="8">
        <x:f>S12*D12*H12*I7*J12</x:f>
      </x:c>
      <x:c r="V12" s="9" t="inlineStr">
        <x:is>
          <x:t xml:space="preserve">kVA</x:t>
        </x:is>
      </x:c>
      <x:c r="W12" s="15" t="n"/>
      <x:c r="X12" s="80" t="n"/>
      <x:c r="Y12" s="80" t="n"/>
      <x:c r="Z12" s="82" t="n"/>
    </x:row>
    <x:row r="13">
      <x:c r="A13" s="33" t="inlineStr">
        <x:is>
          <x:t xml:space="preserve">Luminaire LEDVANCE ref.4058075079335</x:t>
        </x:is>
      </x:c>
      <x:c r="B13" s="79" t="n"/>
      <x:c r="C13" s="9" t="n"/>
      <x:c r="D13" s="21" t="n">
        <x:v>5</x:v>
      </x:c>
      <x:c r="E13" s="9" t="n"/>
      <x:c r="F13" s="21" t="n">
        <x:v>0.95</x:v>
      </x:c>
      <x:c r="G13" s="9" t="n"/>
      <x:c r="H13" s="22" t="n">
        <x:v>1</x:v>
      </x:c>
      <x:c r="I13" s="83" t="n"/>
      <x:c r="J13" s="22" t="n">
        <x:v>1</x:v>
      </x:c>
      <x:c r="K13" s="11">
        <x:f>(18/0.9)/1000</x:f>
      </x:c>
      <x:c r="L13" s="67" t="inlineStr">
        <x:is>
          <x:t xml:space="preserve">kW</x:t>
        </x:is>
      </x:c>
      <x:c r="M13" s="11">
        <x:f>K13*D13*H13*I7*J13</x:f>
      </x:c>
      <x:c r="N13" s="67" t="inlineStr">
        <x:is>
          <x:t xml:space="preserve">kW</x:t>
        </x:is>
      </x:c>
      <x:c r="O13" s="8">
        <x:f>K13*TAN(ACOS(F13))</x:f>
      </x:c>
      <x:c r="P13" s="9" t="inlineStr">
        <x:is>
          <x:t xml:space="preserve">kVar</x:t>
        </x:is>
      </x:c>
      <x:c r="Q13" s="8">
        <x:f>(K13*TAN(ACOS(F13)))*D13*H13*I7*J13</x:f>
      </x:c>
      <x:c r="R13" s="9" t="inlineStr">
        <x:is>
          <x:t xml:space="preserve">kVar</x:t>
        </x:is>
      </x:c>
      <x:c r="S13" s="8">
        <x:f>K13/F13</x:f>
      </x:c>
      <x:c r="T13" s="9" t="inlineStr">
        <x:is>
          <x:t xml:space="preserve">kVA</x:t>
        </x:is>
      </x:c>
      <x:c r="U13" s="8">
        <x:f>S13*D13*H13*I7*J13</x:f>
      </x:c>
      <x:c r="V13" s="9" t="inlineStr">
        <x:is>
          <x:t xml:space="preserve">kVA</x:t>
        </x:is>
      </x:c>
      <x:c r="W13" s="15" t="n"/>
      <x:c r="X13" s="1" t="n"/>
      <x:c r="Y13" s="1" t="n"/>
      <x:c r="Z13" s="17" t="n"/>
    </x:row>
    <x:row r="14">
      <x:c r="A14" s="33" t="inlineStr">
        <x:is>
          <x:t xml:space="preserve">Luminaire LEDVANCE ref.4099854000201</x:t>
        </x:is>
      </x:c>
      <x:c r="B14" s="79" t="n"/>
      <x:c r="C14" s="9" t="n"/>
      <x:c r="D14" s="21" t="n">
        <x:v>3</x:v>
      </x:c>
      <x:c r="E14" s="9" t="n"/>
      <x:c r="F14" s="21" t="n">
        <x:v>0.95</x:v>
      </x:c>
      <x:c r="G14" s="9" t="n"/>
      <x:c r="H14" s="22" t="n">
        <x:v>1</x:v>
      </x:c>
      <x:c r="I14" s="83" t="n"/>
      <x:c r="J14" s="22" t="n">
        <x:v>1</x:v>
      </x:c>
      <x:c r="K14" s="11">
        <x:f>(4/0.9)/1000</x:f>
      </x:c>
      <x:c r="L14" s="67" t="inlineStr">
        <x:is>
          <x:t xml:space="preserve">kW</x:t>
        </x:is>
      </x:c>
      <x:c r="M14" s="11">
        <x:f>K14*D14*H14*I7*J14</x:f>
      </x:c>
      <x:c r="N14" s="67" t="inlineStr">
        <x:is>
          <x:t xml:space="preserve">kW</x:t>
        </x:is>
      </x:c>
      <x:c r="O14" s="8">
        <x:f>K14*TAN(ACOS(F14))</x:f>
      </x:c>
      <x:c r="P14" s="9" t="inlineStr">
        <x:is>
          <x:t xml:space="preserve">kVar</x:t>
        </x:is>
      </x:c>
      <x:c r="Q14" s="8">
        <x:f>(K14*TAN(ACOS(F14)))*D14*H14*I7*J14</x:f>
      </x:c>
      <x:c r="R14" s="9" t="inlineStr">
        <x:is>
          <x:t xml:space="preserve">kVar</x:t>
        </x:is>
      </x:c>
      <x:c r="S14" s="8">
        <x:f>K14/F14</x:f>
      </x:c>
      <x:c r="T14" s="9" t="inlineStr">
        <x:is>
          <x:t xml:space="preserve">kVA</x:t>
        </x:is>
      </x:c>
      <x:c r="U14" s="8">
        <x:f>S14*D14*H14*I7*J14</x:f>
      </x:c>
      <x:c r="V14" s="9" t="inlineStr">
        <x:is>
          <x:t xml:space="preserve">kVA</x:t>
        </x:is>
      </x:c>
      <x:c r="W14" s="15" t="n"/>
      <x:c r="X14" s="44" t="inlineStr">
        <x:is>
          <x:t xml:space="preserve">Puissance du QP7</x:t>
        </x:is>
      </x:c>
      <x:c r="Y14" s="79" t="n"/>
      <x:c r="Z14" s="9" t="n"/>
    </x:row>
    <x:row r="15">
      <x:c r="A15" s="33" t="inlineStr">
        <x:is>
          <x:t xml:space="preserve">Prises Monophasées - Legrand_ Série Mosaic - Prise 3x2P+T à alvéoles inclinés 45º-connexion automatique - noir mat</x:t>
        </x:is>
      </x:c>
      <x:c r="B15" s="79" t="n"/>
      <x:c r="C15" s="9" t="n"/>
      <x:c r="D15" s="21" t="n">
        <x:v>36</x:v>
      </x:c>
      <x:c r="E15" s="9" t="n"/>
      <x:c r="F15" s="21" t="n">
        <x:v>0.9</x:v>
      </x:c>
      <x:c r="G15" s="9" t="n"/>
      <x:c r="H15" s="18">
        <x:f>0.1+(0.9/D15)</x:f>
      </x:c>
      <x:c r="I15" s="83" t="n"/>
      <x:c r="J15" s="22" t="n">
        <x:v>1</x:v>
      </x:c>
      <x:c r="K15" s="11" t="n">
        <x:v>3.68</x:v>
      </x:c>
      <x:c r="L15" s="67" t="inlineStr">
        <x:is>
          <x:t xml:space="preserve">kW</x:t>
        </x:is>
      </x:c>
      <x:c r="M15" s="11">
        <x:f>K15*D15*H15*I7*J15</x:f>
      </x:c>
      <x:c r="N15" s="67" t="inlineStr">
        <x:is>
          <x:t xml:space="preserve">kW</x:t>
        </x:is>
      </x:c>
      <x:c r="O15" s="8">
        <x:f>K15*TAN(ACOS(F15))</x:f>
      </x:c>
      <x:c r="P15" s="9" t="inlineStr">
        <x:is>
          <x:t xml:space="preserve">kVar</x:t>
        </x:is>
      </x:c>
      <x:c r="Q15" s="8">
        <x:f>(K15*TAN(ACOS(F15)))*D15*H15*I7*J15</x:f>
      </x:c>
      <x:c r="R15" s="9" t="inlineStr">
        <x:is>
          <x:t xml:space="preserve">kVar</x:t>
        </x:is>
      </x:c>
      <x:c r="S15" s="8">
        <x:f>K15/F15</x:f>
      </x:c>
      <x:c r="T15" s="9" t="inlineStr">
        <x:is>
          <x:t xml:space="preserve">kVA</x:t>
        </x:is>
      </x:c>
      <x:c r="U15" s="8">
        <x:f>S15*D15*H15*I7*J15</x:f>
      </x:c>
      <x:c r="V15" s="9" t="inlineStr">
        <x:is>
          <x:t xml:space="preserve">kVA</x:t>
        </x:is>
      </x:c>
      <x:c r="W15" s="15" t="n"/>
      <x:c r="X15" s="42" t="inlineStr">
        <x:is>
          <x:t xml:space="preserve">Nombre de Circuits</x:t>
        </x:is>
      </x:c>
      <x:c r="Y15" s="78" t="n"/>
      <x:c r="Z15" s="43" t="n">
        <x:v>14</x:v>
      </x:c>
    </x:row>
    <x:row r="16">
      <x:c r="A16" s="33" t="inlineStr">
        <x:is>
          <x:t xml:space="preserve">Prise Schuko avec Obturateur - EFAPEL 3700 ref.37132C</x:t>
        </x:is>
      </x:c>
      <x:c r="B16" s="79" t="n"/>
      <x:c r="C16" s="9" t="n"/>
      <x:c r="D16" s="21" t="n">
        <x:v>7</x:v>
      </x:c>
      <x:c r="E16" s="9" t="n"/>
      <x:c r="F16" s="21" t="n">
        <x:v>0.9</x:v>
      </x:c>
      <x:c r="G16" s="9" t="n"/>
      <x:c r="H16" s="18">
        <x:f>0.1+(0.9/D16)</x:f>
      </x:c>
      <x:c r="I16" s="83" t="n"/>
      <x:c r="J16" s="22" t="n">
        <x:v>1</x:v>
      </x:c>
      <x:c r="K16" s="11" t="n">
        <x:v>3.68</x:v>
      </x:c>
      <x:c r="L16" s="67" t="inlineStr">
        <x:is>
          <x:t xml:space="preserve">kW</x:t>
        </x:is>
      </x:c>
      <x:c r="M16" s="11">
        <x:f>K16*D16*H16*I7*J16</x:f>
      </x:c>
      <x:c r="N16" s="67" t="inlineStr">
        <x:is>
          <x:t xml:space="preserve">kW</x:t>
        </x:is>
      </x:c>
      <x:c r="O16" s="8">
        <x:f>K16*TAN(ACOS(F16))</x:f>
      </x:c>
      <x:c r="P16" s="9" t="inlineStr">
        <x:is>
          <x:t xml:space="preserve">kVar</x:t>
        </x:is>
      </x:c>
      <x:c r="Q16" s="8">
        <x:f>(K16*TAN(ACOS(F16)))*D16*H16*I7*J16</x:f>
      </x:c>
      <x:c r="R16" s="9" t="inlineStr">
        <x:is>
          <x:t xml:space="preserve">kVar</x:t>
        </x:is>
      </x:c>
      <x:c r="S16" s="8">
        <x:f>K16/F16</x:f>
      </x:c>
      <x:c r="T16" s="9" t="inlineStr">
        <x:is>
          <x:t xml:space="preserve">kVA</x:t>
        </x:is>
      </x:c>
      <x:c r="U16" s="8">
        <x:f>S16*D16*H16*I7*J16</x:f>
      </x:c>
      <x:c r="V16" s="9" t="inlineStr">
        <x:is>
          <x:t xml:space="preserve">kVA</x:t>
        </x:is>
      </x:c>
      <x:c r="W16" s="15" t="n"/>
      <x:c r="X16" s="80" t="n"/>
      <x:c r="Y16" s="82" t="n"/>
      <x:c r="Z16" s="88" t="n"/>
    </x:row>
    <x:row r="17" s="13" customFormat="1" ht="15" customHeight="1">
      <x:c r="A17" s="33" t="inlineStr">
        <x:is>
          <x:t xml:space="preserve">Module AVAC Vulcano MS-R32 10,6UE</x:t>
        </x:is>
      </x:c>
      <x:c r="B17" s="79" t="n"/>
      <x:c r="C17" s="9" t="n"/>
      <x:c r="D17" s="21" t="n">
        <x:v>1</x:v>
      </x:c>
      <x:c r="E17" s="9" t="n"/>
      <x:c r="F17" s="21" t="n">
        <x:v>1</x:v>
      </x:c>
      <x:c r="G17" s="9" t="n"/>
      <x:c r="H17" s="22" t="n">
        <x:v>1</x:v>
      </x:c>
      <x:c r="I17" s="88" t="n"/>
      <x:c r="J17" s="22" t="n">
        <x:v>0.8</x:v>
      </x:c>
      <x:c r="K17" s="11" t="n">
        <x:v>14.1</x:v>
      </x:c>
      <x:c r="L17" s="67" t="inlineStr">
        <x:is>
          <x:t xml:space="preserve">kW</x:t>
        </x:is>
      </x:c>
      <x:c r="M17" s="11">
        <x:f>K17*D17*H17*I7*J17</x:f>
      </x:c>
      <x:c r="N17" s="67" t="inlineStr">
        <x:is>
          <x:t xml:space="preserve">kW</x:t>
        </x:is>
      </x:c>
      <x:c r="O17" s="8">
        <x:f>K17*TAN(ACOS(F17))</x:f>
      </x:c>
      <x:c r="P17" s="9" t="inlineStr">
        <x:is>
          <x:t xml:space="preserve">kVar</x:t>
        </x:is>
      </x:c>
      <x:c r="Q17" s="8">
        <x:f>(K17*TAN(ACOS(F17)))*D17*H17*I7*J17</x:f>
      </x:c>
      <x:c r="R17" s="9" t="inlineStr">
        <x:is>
          <x:t xml:space="preserve">kVar</x:t>
        </x:is>
      </x:c>
      <x:c r="S17" s="8">
        <x:f>K17/F17</x:f>
      </x:c>
      <x:c r="T17" s="9" t="inlineStr">
        <x:is>
          <x:t xml:space="preserve">kVA</x:t>
        </x:is>
      </x:c>
      <x:c r="U17" s="8">
        <x:f>S17*D17*H17*I7*J17</x:f>
      </x:c>
      <x:c r="V17" s="9" t="inlineStr">
        <x:is>
          <x:t xml:space="preserve">kVA</x:t>
        </x:is>
      </x:c>
      <x:c r="W17" s="15" t="n"/>
      <x:c r="X17" s="42" t="inlineStr">
        <x:is>
          <x:t xml:space="preserve">Facteur de Simultanéité du Tableau (Ks)</x:t>
        </x:is>
      </x:c>
      <x:c r="Y17" s="78" t="n"/>
      <x:c r="Z17" s="43">
        <x:f>IF(Z15&gt;=10,0.6,IF(Z15&gt;=6,0.7,IF(Z15&lt;6,0.8)))</x:f>
      </x:c>
    </x:row>
    <x:row r="18">
      <x:c r="S18" s="20" t="n"/>
      <x:c r="W18" s="15" t="n"/>
      <x:c r="X18" s="84" t="n"/>
      <x:c r="Y18" s="85" t="n"/>
      <x:c r="Z18" s="83" t="n"/>
    </x:row>
    <x:row r="19" s="13" customFormat="1" ht="15" customHeight="1">
      <x:c r="S19" s="20" t="n"/>
      <x:c r="W19" s="15" t="n"/>
      <x:c r="X19" s="80" t="n"/>
      <x:c r="Y19" s="82" t="n"/>
      <x:c r="Z19" s="88" t="n"/>
    </x:row>
    <x:row r="20">
      <x:c r="S20" s="20" t="n"/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S21" s="20" t="n"/>
      <x:c r="W21" s="15" t="n"/>
      <x:c r="X21" s="88" t="n"/>
      <x:c r="Y21" s="80" t="n"/>
      <x:c r="Z21" s="82" t="n"/>
    </x:row>
    <x:row r="22">
      <x:c r="S22" s="20" t="n"/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S23" s="20" t="n"/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  <x:row r="26"/>
    <x:row r="27">
      <x:c r="Y27" s="20" t="n"/>
    </x:row>
  </x:sheetData>
  <x:mergeCells>
    <x:mergeCell ref="Y24:Y25"/>
    <x:mergeCell ref="A1:Z4"/>
    <x:mergeCell ref="F11:G11"/>
    <x:mergeCell ref="Y9:Y10"/>
    <x:mergeCell ref="Z17:Z19"/>
    <x:mergeCell ref="D10:E10"/>
    <x:mergeCell ref="F16:G16"/>
    <x:mergeCell ref="F10:G10"/>
    <x:mergeCell ref="O6:P6"/>
    <x:mergeCell ref="U6:V6"/>
    <x:mergeCell ref="I7:I17"/>
    <x:mergeCell ref="X7:X8"/>
    <x:mergeCell ref="Z7:Z8"/>
    <x:mergeCell ref="S5:V5"/>
    <x:mergeCell ref="A12:C12"/>
    <x:mergeCell ref="Y11:Y12"/>
    <x:mergeCell ref="Y20:Y21"/>
    <x:mergeCell ref="F7:G7"/>
    <x:mergeCell ref="Z22:Z23"/>
    <x:mergeCell ref="X24:X25"/>
    <x:mergeCell ref="X17:Y19"/>
    <x:mergeCell ref="F12:G12"/>
    <x:mergeCell ref="X14:Z14"/>
    <x:mergeCell ref="F15:G15"/>
    <x:mergeCell ref="D13:E13"/>
    <x:mergeCell ref="A14:C14"/>
    <x:mergeCell ref="D11:E11"/>
    <x:mergeCell ref="A8:C8"/>
    <x:mergeCell ref="Y22:Y23"/>
    <x:mergeCell ref="A17:C17"/>
    <x:mergeCell ref="D5:E6"/>
    <x:mergeCell ref="Y7:Y8"/>
    <x:mergeCell ref="D17:E17"/>
    <x:mergeCell ref="X20:X21"/>
    <x:mergeCell ref="F17:G17"/>
    <x:mergeCell ref="K5:N5"/>
    <x:mergeCell ref="Z20:Z21"/>
    <x:mergeCell ref="F8:G8"/>
    <x:mergeCell ref="A10:C10"/>
    <x:mergeCell ref="D16:E16"/>
    <x:mergeCell ref="A13:C13"/>
    <x:mergeCell ref="D7:E7"/>
    <x:mergeCell ref="M6:N6"/>
    <x:mergeCell ref="H5:J5"/>
    <x:mergeCell ref="Q6:R6"/>
    <x:mergeCell ref="X22:X23"/>
    <x:mergeCell ref="S6:T6"/>
    <x:mergeCell ref="X9:X10"/>
    <x:mergeCell ref="A9:C9"/>
    <x:mergeCell ref="O5:R5"/>
    <x:mergeCell ref="F13:G13"/>
    <x:mergeCell ref="A15:C15"/>
    <x:mergeCell ref="D9:E9"/>
    <x:mergeCell ref="F9:G9"/>
    <x:mergeCell ref="D12:E12"/>
    <x:mergeCell ref="D8:E8"/>
    <x:mergeCell ref="Z15:Z16"/>
    <x:mergeCell ref="A11:C11"/>
    <x:mergeCell ref="Z9:Z10"/>
    <x:mergeCell ref="D15:E15"/>
    <x:mergeCell ref="A5:C6"/>
    <x:mergeCell ref="X5:Z6"/>
    <x:mergeCell ref="Z24:Z25"/>
    <x:mergeCell ref="F5:G6"/>
    <x:mergeCell ref="D14:E14"/>
    <x:mergeCell ref="X15:Y16"/>
    <x:mergeCell ref="F14:G14"/>
    <x:mergeCell ref="X11:X12"/>
    <x:mergeCell ref="K6:L6"/>
    <x:mergeCell ref="A7:C7"/>
    <x:mergeCell ref="Z11:Z12"/>
    <x:mergeCell ref="A16:C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theme="2" tint="-0.74999"/>
  </x:sheetPr>
  <x:sheetFormatPr baseColWidth="8" defaultRowHeight="15"/>
  <x:cols>
    <x:col min="23" max="23" width="4.140625" style="13" customWidth="1"/>
    <x:col min="24" max="24" width="10.140625" style="13" customWidth="1"/>
    <x:col min="27" max="27" width="9.140625" style="13" hidden="1" customWidth="1"/>
  </x:cols>
  <x:sheetData>
    <x:row r="1" s="13" customFormat="1" ht="15" customHeight="1">
      <x:c r="A1" s="47" t="inlineStr">
        <x:is>
          <x:t xml:space="preserve">Tableau de Puissances - Tableau Général de Mobilité</x:t>
        </x:is>
      </x:c>
    </x:row>
    <x:row r="2" s="13" customFormat="1" ht="15" customHeight="1"/>
    <x:row r="3" s="13" customFormat="1" ht="15" customHeight="1"/>
    <x:row r="4" s="13" customFormat="1" ht="63" customHeight="1"/>
    <x:row r="5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2" t="inlineStr">
        <x:is>
          <x:t xml:space="preserve">Cosϕ = f.p.</x:t>
        </x:is>
      </x:c>
      <x:c r="G5" s="78" t="n"/>
      <x:c r="H5" s="48" t="inlineStr">
        <x:is>
          <x:t xml:space="preserve">Facteurs</x:t>
        </x:is>
      </x:c>
      <x:c r="I5" s="79" t="n"/>
      <x:c r="J5" s="9" t="n"/>
      <x:c r="K5" s="48" t="inlineStr">
        <x:is>
          <x:t xml:space="preserve">Puissance Active</x:t>
        </x:is>
      </x:c>
      <x:c r="L5" s="79" t="n"/>
      <x:c r="M5" s="79" t="n"/>
      <x:c r="N5" s="9" t="n"/>
      <x:c r="O5" s="48" t="inlineStr">
        <x:is>
          <x:t xml:space="preserve">Puissance Réactive</x:t>
        </x:is>
      </x:c>
      <x:c r="P5" s="79" t="n"/>
      <x:c r="Q5" s="79" t="n"/>
      <x:c r="R5" s="9" t="n"/>
      <x:c r="S5" s="48" t="inlineStr">
        <x:is>
          <x:t xml:space="preserve">Puissance Apparente</x:t>
        </x:is>
      </x:c>
      <x:c r="T5" s="79" t="n"/>
      <x:c r="U5" s="79" t="n"/>
      <x:c r="V5" s="9" t="n"/>
      <x:c r="W5" s="7" t="n"/>
      <x:c r="X5" s="46" t="inlineStr">
        <x:is>
          <x:t xml:space="preserve">Puissance à Pleine Charge</x:t>
        </x:is>
      </x:c>
      <x:c r="Y5" s="77" t="n"/>
      <x:c r="Z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2" t="inlineStr">
        <x:is>
          <x:t xml:space="preserve">Simultanéité (Ks)</x:t>
        </x:is>
      </x:c>
      <x:c r="I6" s="2" t="inlineStr">
        <x:is>
          <x:t xml:space="preserve">Évolution des Charges (Ke)</x:t>
        </x:is>
      </x:c>
      <x:c r="J6" s="3" t="inlineStr">
        <x:is>
          <x:t xml:space="preserve">Utilisation (Ku)</x:t>
        </x:is>
      </x:c>
      <x:c r="K6" s="43" t="inlineStr">
        <x:is>
          <x:t xml:space="preserve">Unitaire</x:t>
        </x:is>
      </x:c>
      <x:c r="L6" s="9" t="n"/>
      <x:c r="M6" s="43" t="inlineStr">
        <x:is>
          <x:t xml:space="preserve">Ensemble</x:t>
        </x:is>
      </x:c>
      <x:c r="N6" s="9" t="n"/>
      <x:c r="O6" s="43" t="inlineStr">
        <x:is>
          <x:t xml:space="preserve">Unitaire</x:t>
        </x:is>
      </x:c>
      <x:c r="P6" s="9" t="n"/>
      <x:c r="Q6" s="43" t="inlineStr">
        <x:is>
          <x:t xml:space="preserve">Ensemble</x:t>
        </x:is>
      </x:c>
      <x:c r="R6" s="9" t="n"/>
      <x:c r="S6" s="43" t="inlineStr">
        <x:is>
          <x:t xml:space="preserve">Unitaire</x:t>
        </x:is>
      </x:c>
      <x:c r="T6" s="9" t="n"/>
      <x:c r="U6" s="43" t="inlineStr">
        <x:is>
          <x:t xml:space="preserve">Ensemble</x:t>
        </x:is>
      </x:c>
      <x:c r="V6" s="9" t="n"/>
      <x:c r="W6" s="14" t="n"/>
      <x:c r="X6" s="80" t="n"/>
      <x:c r="Y6" s="81" t="n"/>
      <x:c r="Z6" s="82" t="n"/>
    </x:row>
    <x:row r="7">
      <x:c r="A7" s="33" t="inlineStr">
        <x:is>
          <x:t xml:space="preserve">Borne de Recharge VE - MAGNUM CAP ref.MC NCC</x:t>
        </x:is>
      </x:c>
      <x:c r="B7" s="79" t="n"/>
      <x:c r="C7" s="9" t="n"/>
      <x:c r="D7" s="21" t="n">
        <x:v>3</x:v>
      </x:c>
      <x:c r="E7" s="9" t="n"/>
      <x:c r="F7" s="21" t="n">
        <x:v>0.95</x:v>
      </x:c>
      <x:c r="G7" s="9" t="n"/>
      <x:c r="H7" s="5" t="n">
        <x:v>1</x:v>
      </x:c>
      <x:c r="I7" s="22" t="n">
        <x:v>3</x:v>
      </x:c>
      <x:c r="J7" s="22" t="n">
        <x:v>1</x:v>
      </x:c>
      <x:c r="K7" s="11">
        <x:f>22</x:f>
      </x:c>
      <x:c r="L7" s="67" t="inlineStr">
        <x:is>
          <x:t xml:space="preserve">kW</x:t>
        </x:is>
      </x:c>
      <x:c r="M7" s="11">
        <x:f>K7*D7*H7*I7*J7</x:f>
      </x:c>
      <x:c r="N7" s="67" t="inlineStr">
        <x:is>
          <x:t xml:space="preserve">kW</x:t>
        </x:is>
      </x:c>
      <x:c r="O7" s="8">
        <x:f>K7*TAN(ACOS(F7))</x:f>
      </x:c>
      <x:c r="P7" s="9" t="inlineStr">
        <x:is>
          <x:t xml:space="preserve">kVar</x:t>
        </x:is>
      </x:c>
      <x:c r="Q7" s="8">
        <x:f>(K7*TAN(ACOS(F7)))*D7*H7*I7*J7</x:f>
      </x:c>
      <x:c r="R7" s="9" t="inlineStr">
        <x:is>
          <x:t xml:space="preserve">kVar</x:t>
        </x:is>
      </x:c>
      <x:c r="S7" s="8">
        <x:f>K7/F7</x:f>
      </x:c>
      <x:c r="T7" s="9" t="inlineStr">
        <x:is>
          <x:t xml:space="preserve">kVA</x:t>
        </x:is>
      </x:c>
      <x:c r="U7" s="8">
        <x:f>S7*D7*H7*I7*J7</x:f>
      </x:c>
      <x:c r="V7" s="9" t="inlineStr">
        <x:is>
          <x:t xml:space="preserve">kVA</x:t>
        </x:is>
      </x:c>
      <x:c r="W7" s="15" t="n"/>
      <x:c r="X7" s="32" t="inlineStr">
        <x:is>
          <x:t xml:space="preserve">Puissance Active</x:t>
        </x:is>
      </x:c>
      <x:c r="Y7" s="36">
        <x:f>SUM(M7:M7)</x:f>
      </x:c>
      <x:c r="Z7" s="34" t="inlineStr">
        <x:is>
          <x:t xml:space="preserve">kW</x:t>
        </x:is>
      </x:c>
    </x:row>
    <x:row r="8">
      <x:c r="S8" s="20" t="n"/>
      <x:c r="W8" s="15" t="n"/>
      <x:c r="X8" s="80" t="n"/>
      <x:c r="Y8" s="84" t="n"/>
      <x:c r="Z8" s="85" t="n"/>
    </x:row>
    <x:row r="9">
      <x:c r="S9" s="20" t="n"/>
      <x:c r="W9" s="15" t="n"/>
      <x:c r="X9" s="32" t="inlineStr">
        <x:is>
          <x:t xml:space="preserve">Puissance Réactive</x:t>
        </x:is>
      </x:c>
      <x:c r="Y9" s="36">
        <x:f>SUM(Q7:Q7)</x:f>
      </x:c>
      <x:c r="Z9" s="34" t="inlineStr">
        <x:is>
          <x:t xml:space="preserve">kVar</x:t>
        </x:is>
      </x:c>
    </x:row>
    <x:row r="10">
      <x:c r="S10" s="20" t="n"/>
      <x:c r="W10" s="15" t="n"/>
      <x:c r="X10" s="80" t="n"/>
      <x:c r="Y10" s="84" t="n"/>
      <x:c r="Z10" s="85" t="n"/>
    </x:row>
    <x:row r="11">
      <x:c r="S11" s="20" t="n"/>
      <x:c r="W11" s="15" t="n"/>
      <x:c r="X11" s="32" t="inlineStr">
        <x:is>
          <x:t xml:space="preserve">Puissance Apparente</x:t>
        </x:is>
      </x:c>
      <x:c r="Y11" s="86">
        <x:f>SUM(U7:U7)</x:f>
      </x:c>
      <x:c r="Z11" s="87" t="inlineStr">
        <x:is>
          <x:t xml:space="preserve">kVA</x:t>
        </x:is>
      </x:c>
    </x:row>
    <x:row r="12">
      <x:c r="S12" s="20" t="n"/>
      <x:c r="W12" s="15" t="n"/>
      <x:c r="X12" s="80" t="n"/>
      <x:c r="Y12" s="80" t="n"/>
      <x:c r="Z12" s="82" t="n"/>
    </x:row>
    <x:row r="13">
      <x:c r="S13" s="20" t="n"/>
      <x:c r="W13" s="15" t="n"/>
      <x:c r="X13" s="1" t="n"/>
      <x:c r="Y13" s="1" t="n"/>
      <x:c r="Z13" s="17" t="n"/>
    </x:row>
    <x:row r="14">
      <x:c r="W14" s="15" t="n"/>
      <x:c r="X14" s="44" t="inlineStr">
        <x:is>
          <x:t xml:space="preserve">Puissance du QVE/QGM</x:t>
        </x:is>
      </x:c>
      <x:c r="Y14" s="79" t="n"/>
      <x:c r="Z14" s="9" t="n"/>
    </x:row>
    <x:row r="15">
      <x:c r="W15" s="15" t="n"/>
      <x:c r="X15" s="42" t="inlineStr">
        <x:is>
          <x:t xml:space="preserve">Nombre de Circuits</x:t>
        </x:is>
      </x:c>
      <x:c r="Y15" s="78" t="n"/>
      <x:c r="Z15" s="43" t="n">
        <x:v>9</x:v>
      </x:c>
    </x:row>
    <x:row r="16">
      <x:c r="W16" s="15" t="n"/>
      <x:c r="X16" s="80" t="n"/>
      <x:c r="Y16" s="82" t="n"/>
      <x:c r="Z16" s="88" t="n"/>
    </x:row>
    <x:row r="17" s="13" customFormat="1" ht="15" customHeight="1">
      <x:c r="W17" s="15" t="n"/>
      <x:c r="X17" s="42" t="inlineStr">
        <x:is>
          <x:t xml:space="preserve">Facteur de Simultanéité du Tableau (Ks)</x:t>
        </x:is>
      </x:c>
      <x:c r="Y17" s="78" t="n"/>
      <x:c r="Z17" s="43">
        <x:f>1</x:f>
      </x:c>
    </x:row>
    <x:row r="18">
      <x:c r="W18" s="15" t="n"/>
      <x:c r="X18" s="84" t="n"/>
      <x:c r="Y18" s="85" t="n"/>
      <x:c r="Z18" s="83" t="n"/>
    </x:row>
    <x:row r="19" s="13" customFormat="1" ht="15" customHeight="1">
      <x:c r="W19" s="15" t="n"/>
      <x:c r="X19" s="80" t="n"/>
      <x:c r="Y19" s="82" t="n"/>
      <x:c r="Z19" s="88" t="n"/>
    </x:row>
    <x:row r="20">
      <x:c r="W20" s="15" t="n"/>
      <x:c r="X20" s="41" t="inlineStr">
        <x:is>
          <x:t xml:space="preserve">P x Ks =</x:t>
        </x:is>
      </x:c>
      <x:c r="Y20" s="86">
        <x:f>Y7*Z17</x:f>
      </x:c>
      <x:c r="Z20" s="87" t="inlineStr">
        <x:is>
          <x:t xml:space="preserve">kW</x:t>
        </x:is>
      </x:c>
      <x:c r="AA20" s="20">
        <x:f>Y20</x:f>
      </x:c>
    </x:row>
    <x:row r="21" s="13" customFormat="1" ht="15" customHeight="1">
      <x:c r="W21" s="15" t="n"/>
      <x:c r="X21" s="88" t="n"/>
      <x:c r="Y21" s="80" t="n"/>
      <x:c r="Z21" s="82" t="n"/>
    </x:row>
    <x:row r="22">
      <x:c r="W22" s="15" t="n"/>
      <x:c r="X22" s="41" t="inlineStr">
        <x:is>
          <x:t xml:space="preserve">Q x Ks =</x:t>
        </x:is>
      </x:c>
      <x:c r="Y22" s="86">
        <x:f>Y9*Z17</x:f>
      </x:c>
      <x:c r="Z22" s="87" t="inlineStr">
        <x:is>
          <x:t xml:space="preserve">kVar</x:t>
        </x:is>
      </x:c>
      <x:c r="AA22" s="20">
        <x:f>Y22</x:f>
      </x:c>
    </x:row>
    <x:row r="23" s="13" customFormat="1" ht="15" customHeight="1">
      <x:c r="W23" s="15" t="n"/>
      <x:c r="X23" s="88" t="n"/>
      <x:c r="Y23" s="80" t="n"/>
      <x:c r="Z23" s="82" t="n"/>
    </x:row>
    <x:row r="24">
      <x:c r="W24" s="15" t="n"/>
      <x:c r="X24" s="41" t="inlineStr">
        <x:is>
          <x:t xml:space="preserve">S x Ks =</x:t>
        </x:is>
      </x:c>
      <x:c r="Y24" s="86">
        <x:f>Y11*Z17</x:f>
      </x:c>
      <x:c r="Z24" s="87" t="inlineStr">
        <x:is>
          <x:t xml:space="preserve">kVA</x:t>
        </x:is>
      </x:c>
      <x:c r="AA24" s="20">
        <x:f>Y24</x:f>
      </x:c>
    </x:row>
    <x:row r="25" s="13" customFormat="1" ht="15" customHeight="1">
      <x:c r="W25" s="16" t="n"/>
      <x:c r="X25" s="88" t="n"/>
      <x:c r="Y25" s="80" t="n"/>
      <x:c r="Z25" s="82" t="n"/>
    </x:row>
    <x:row r="26"/>
    <x:row r="27">
      <x:c r="Y27" s="20" t="n"/>
    </x:row>
  </x:sheetData>
  <x:mergeCells>
    <x:mergeCell ref="Y24:Y25"/>
    <x:mergeCell ref="A1:Z4"/>
    <x:mergeCell ref="Y9:Y10"/>
    <x:mergeCell ref="Z17:Z19"/>
    <x:mergeCell ref="O6:P6"/>
    <x:mergeCell ref="U6:V6"/>
    <x:mergeCell ref="X7:X8"/>
    <x:mergeCell ref="Z7:Z8"/>
    <x:mergeCell ref="S5:V5"/>
    <x:mergeCell ref="Y11:Y12"/>
    <x:mergeCell ref="Y20:Y21"/>
    <x:mergeCell ref="F7:G7"/>
    <x:mergeCell ref="Z22:Z23"/>
    <x:mergeCell ref="X24:X25"/>
    <x:mergeCell ref="X17:Y19"/>
    <x:mergeCell ref="X14:Z14"/>
    <x:mergeCell ref="Y22:Y23"/>
    <x:mergeCell ref="D5:E6"/>
    <x:mergeCell ref="Y7:Y8"/>
    <x:mergeCell ref="X20:X21"/>
    <x:mergeCell ref="K5:N5"/>
    <x:mergeCell ref="Z20:Z21"/>
    <x:mergeCell ref="D7:E7"/>
    <x:mergeCell ref="M6:N6"/>
    <x:mergeCell ref="H5:J5"/>
    <x:mergeCell ref="Q6:R6"/>
    <x:mergeCell ref="X22:X23"/>
    <x:mergeCell ref="S6:T6"/>
    <x:mergeCell ref="X9:X10"/>
    <x:mergeCell ref="O5:R5"/>
    <x:mergeCell ref="Z15:Z16"/>
    <x:mergeCell ref="Z9:Z10"/>
    <x:mergeCell ref="A5:C6"/>
    <x:mergeCell ref="X5:Z6"/>
    <x:mergeCell ref="Z24:Z25"/>
    <x:mergeCell ref="F5:G6"/>
    <x:mergeCell ref="X15:Y16"/>
    <x:mergeCell ref="X11:X12"/>
    <x:mergeCell ref="K6:L6"/>
    <x:mergeCell ref="A7:C7"/>
    <x:mergeCell ref="Z11:Z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theme="2" tint="-0.74999"/>
  </x:sheetPr>
  <x:sheetFormatPr baseColWidth="8" defaultRowHeight="15"/>
  <x:cols>
    <x:col min="6" max="6" width="10.140625" style="13" customWidth="1"/>
    <x:col min="12" max="12" width="3.28515625" style="13" customWidth="1"/>
    <x:col min="14" max="14" width="19.5703125" style="13" customWidth="1"/>
    <x:col min="16" max="16" width="0" style="13" hidden="1" customWidth="0"/>
    <x:col min="23" max="23" width="10" style="13" customWidth="1"/>
    <x:col min="24" max="24" width="10.140625" style="13" customWidth="1"/>
  </x:cols>
  <x:sheetData>
    <x:row r="1" s="13" customFormat="1" ht="15" customHeight="1">
      <x:c r="A1" s="73" t="inlineStr">
        <x:is>
          <x:t xml:space="preserve">Tableau de Puissances - Tableau Général Basse Tension</x:t>
        </x:is>
      </x:c>
      <x:c r="P1" s="19" t="n"/>
      <x:c r="Q1" s="19" t="n"/>
      <x:c r="R1" s="19" t="n"/>
      <x:c r="S1" s="19" t="n"/>
      <x:c r="T1" s="19" t="n"/>
      <x:c r="U1" s="19" t="n"/>
      <x:c r="V1" s="19" t="n"/>
      <x:c r="W1" s="19" t="n"/>
      <x:c r="X1" s="19" t="n"/>
      <x:c r="Y1" s="19" t="n"/>
      <x:c r="Z1" s="19" t="n"/>
    </x:row>
    <x:row r="2" s="13" customFormat="1" ht="15" customHeight="1">
      <x:c r="P2" s="19" t="n"/>
      <x:c r="Q2" s="19" t="n"/>
      <x:c r="R2" s="19" t="n"/>
      <x:c r="S2" s="19" t="n"/>
      <x:c r="T2" s="19" t="n"/>
      <x:c r="U2" s="19" t="n"/>
      <x:c r="V2" s="19" t="n"/>
      <x:c r="W2" s="19" t="n"/>
      <x:c r="X2" s="19" t="n"/>
      <x:c r="Y2" s="19" t="n"/>
      <x:c r="Z2" s="19" t="n"/>
    </x:row>
    <x:row r="3" s="13" customFormat="1" ht="15" customHeight="1">
      <x:c r="P3" s="19" t="n"/>
      <x:c r="Q3" s="19" t="n"/>
      <x:c r="R3" s="19" t="n"/>
      <x:c r="S3" s="19" t="n"/>
      <x:c r="T3" s="19" t="n"/>
      <x:c r="U3" s="19" t="n"/>
      <x:c r="V3" s="19" t="n"/>
      <x:c r="W3" s="19" t="n"/>
      <x:c r="X3" s="19" t="n"/>
      <x:c r="Y3" s="19" t="n"/>
      <x:c r="Z3" s="19" t="n"/>
    </x:row>
    <x:row r="4" s="13" customFormat="1" ht="63" customHeight="1">
      <x:c r="A4" s="81" t="n"/>
      <x:c r="B4" s="81" t="n"/>
      <x:c r="C4" s="81" t="n"/>
      <x:c r="D4" s="81" t="n"/>
      <x:c r="E4" s="81" t="n"/>
      <x:c r="F4" s="81" t="n"/>
      <x:c r="G4" s="81" t="n"/>
      <x:c r="H4" s="81" t="n"/>
      <x:c r="I4" s="81" t="n"/>
      <x:c r="J4" s="81" t="n"/>
      <x:c r="K4" s="81" t="n"/>
      <x:c r="L4" s="81" t="n"/>
      <x:c r="M4" s="81" t="n"/>
      <x:c r="N4" s="81" t="n"/>
      <x:c r="O4" s="81" t="n"/>
      <x:c r="P4" s="19" t="n"/>
      <x:c r="Q4" s="19" t="n"/>
      <x:c r="R4" s="19" t="n"/>
      <x:c r="S4" s="19" t="n"/>
      <x:c r="T4" s="19" t="n"/>
      <x:c r="U4" s="19" t="n"/>
      <x:c r="V4" s="19" t="n"/>
      <x:c r="W4" s="19" t="n"/>
      <x:c r="X4" s="19" t="n"/>
      <x:c r="Y4" s="19" t="n"/>
      <x:c r="Z4" s="19" t="n"/>
    </x:row>
    <x:row r="5" s="13" customFormat="1" ht="15" customHeight="1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8" t="inlineStr">
        <x:is>
          <x:t xml:space="preserve">Puissance Active</x:t>
        </x:is>
      </x:c>
      <x:c r="G5" s="78" t="n"/>
      <x:c r="H5" s="48" t="inlineStr">
        <x:is>
          <x:t xml:space="preserve">Puissance Réactive</x:t>
        </x:is>
      </x:c>
      <x:c r="I5" s="78" t="n"/>
      <x:c r="J5" s="48" t="inlineStr">
        <x:is>
          <x:t xml:space="preserve">Puissance Apparente</x:t>
        </x:is>
      </x:c>
      <x:c r="K5" s="78" t="n"/>
      <x:c r="L5" s="7" t="n"/>
      <x:c r="M5" s="46" t="inlineStr">
        <x:is>
          <x:t xml:space="preserve">Puissance à Pleine Charge</x:t>
        </x:is>
      </x:c>
      <x:c r="N5" s="77" t="n"/>
      <x:c r="O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80" t="n"/>
      <x:c r="I6" s="82" t="n"/>
      <x:c r="J6" s="80" t="n"/>
      <x:c r="K6" s="82" t="n"/>
      <x:c r="L6" s="14" t="n"/>
      <x:c r="M6" s="80" t="n"/>
      <x:c r="N6" s="81" t="n"/>
      <x:c r="O6" s="82" t="n"/>
    </x:row>
    <x:row r="7">
      <x:c r="A7" s="33" t="inlineStr">
        <x:is>
          <x:t xml:space="preserve">QP1</x:t>
        </x:is>
      </x:c>
      <x:c r="B7" s="79" t="n"/>
      <x:c r="C7" s="9" t="n"/>
      <x:c r="D7" s="21" t="n">
        <x:v>1</x:v>
      </x:c>
      <x:c r="E7" s="9" t="n"/>
      <x:c r="F7" s="11">
        <x:f>'QP1'!AA20</x:f>
      </x:c>
      <x:c r="G7" s="67" t="inlineStr">
        <x:is>
          <x:t xml:space="preserve">kW</x:t>
        </x:is>
      </x:c>
      <x:c r="H7" s="11">
        <x:f>'QP1'!AA22</x:f>
      </x:c>
      <x:c r="I7" s="67" t="inlineStr">
        <x:is>
          <x:t xml:space="preserve">kW</x:t>
        </x:is>
      </x:c>
      <x:c r="J7" s="8">
        <x:f>'QP1'!AA24</x:f>
      </x:c>
      <x:c r="K7" s="9" t="inlineStr">
        <x:is>
          <x:t xml:space="preserve">kVar</x:t>
        </x:is>
      </x:c>
      <x:c r="L7" s="15" t="n"/>
      <x:c r="M7" s="42" t="inlineStr">
        <x:is>
          <x:t xml:space="preserve">Puissance Active</x:t>
        </x:is>
      </x:c>
      <x:c r="N7" s="86">
        <x:f>SUM(F7:F13)</x:f>
      </x:c>
      <x:c r="O7" s="87" t="inlineStr">
        <x:is>
          <x:t xml:space="preserve">kW</x:t>
        </x:is>
      </x:c>
    </x:row>
    <x:row r="8">
      <x:c r="A8" s="33" t="inlineStr">
        <x:is>
          <x:t xml:space="preserve">QP2</x:t>
        </x:is>
      </x:c>
      <x:c r="B8" s="79" t="n"/>
      <x:c r="C8" s="9" t="n"/>
      <x:c r="D8" s="21" t="n">
        <x:v>1</x:v>
      </x:c>
      <x:c r="E8" s="9" t="n"/>
      <x:c r="F8" s="11">
        <x:f>'QP2'!AA20</x:f>
      </x:c>
      <x:c r="G8" s="67" t="inlineStr">
        <x:is>
          <x:t xml:space="preserve">kW</x:t>
        </x:is>
      </x:c>
      <x:c r="H8" s="11">
        <x:f>'QP2'!AA22</x:f>
      </x:c>
      <x:c r="I8" s="67" t="inlineStr">
        <x:is>
          <x:t xml:space="preserve">kW</x:t>
        </x:is>
      </x:c>
      <x:c r="J8" s="8">
        <x:f>'QP2'!AA24</x:f>
      </x:c>
      <x:c r="K8" s="9" t="inlineStr">
        <x:is>
          <x:t xml:space="preserve">kVar</x:t>
        </x:is>
      </x:c>
      <x:c r="L8" s="15" t="n"/>
      <x:c r="M8" s="88" t="n"/>
      <x:c r="N8" s="80" t="n"/>
      <x:c r="O8" s="82" t="n"/>
    </x:row>
    <x:row r="9">
      <x:c r="A9" s="33" t="inlineStr">
        <x:is>
          <x:t xml:space="preserve">QP3</x:t>
        </x:is>
      </x:c>
      <x:c r="B9" s="79" t="n"/>
      <x:c r="C9" s="9" t="n"/>
      <x:c r="D9" s="21" t="n">
        <x:v>1</x:v>
      </x:c>
      <x:c r="E9" s="9" t="n"/>
      <x:c r="F9" s="11">
        <x:f>'QP3'!AA20</x:f>
      </x:c>
      <x:c r="G9" s="67" t="inlineStr">
        <x:is>
          <x:t xml:space="preserve">kW</x:t>
        </x:is>
      </x:c>
      <x:c r="H9" s="11">
        <x:f>'QP3'!AA22</x:f>
      </x:c>
      <x:c r="I9" s="67" t="inlineStr">
        <x:is>
          <x:t xml:space="preserve">kW</x:t>
        </x:is>
      </x:c>
      <x:c r="J9" s="8">
        <x:f>'QP3'!AA24</x:f>
      </x:c>
      <x:c r="K9" s="9" t="inlineStr">
        <x:is>
          <x:t xml:space="preserve">kVar</x:t>
        </x:is>
      </x:c>
      <x:c r="L9" s="15" t="n"/>
      <x:c r="M9" s="42" t="inlineStr">
        <x:is>
          <x:t xml:space="preserve">Puissance Réactive</x:t>
        </x:is>
      </x:c>
      <x:c r="N9" s="86">
        <x:f>SUM(H7:H13)</x:f>
      </x:c>
      <x:c r="O9" s="87" t="inlineStr">
        <x:is>
          <x:t xml:space="preserve">kVar</x:t>
        </x:is>
      </x:c>
    </x:row>
    <x:row r="10">
      <x:c r="A10" s="33" t="inlineStr">
        <x:is>
          <x:t xml:space="preserve">QP4</x:t>
        </x:is>
      </x:c>
      <x:c r="B10" s="79" t="n"/>
      <x:c r="C10" s="9" t="n"/>
      <x:c r="D10" s="21" t="n">
        <x:v>1</x:v>
      </x:c>
      <x:c r="E10" s="9" t="n"/>
      <x:c r="F10" s="11">
        <x:f>'QP4'!AA20</x:f>
      </x:c>
      <x:c r="G10" s="67" t="inlineStr">
        <x:is>
          <x:t xml:space="preserve">kW</x:t>
        </x:is>
      </x:c>
      <x:c r="H10" s="11">
        <x:f>'QP4'!AA22</x:f>
      </x:c>
      <x:c r="I10" s="67" t="inlineStr">
        <x:is>
          <x:t xml:space="preserve">kW</x:t>
        </x:is>
      </x:c>
      <x:c r="J10" s="8">
        <x:f>'QP4'!AA24</x:f>
      </x:c>
      <x:c r="K10" s="9" t="inlineStr">
        <x:is>
          <x:t xml:space="preserve">kVar</x:t>
        </x:is>
      </x:c>
      <x:c r="L10" s="15" t="n"/>
      <x:c r="M10" s="88" t="n"/>
      <x:c r="N10" s="80" t="n"/>
      <x:c r="O10" s="82" t="n"/>
    </x:row>
    <x:row r="11">
      <x:c r="A11" s="33" t="inlineStr">
        <x:is>
          <x:t xml:space="preserve">QP5</x:t>
        </x:is>
      </x:c>
      <x:c r="B11" s="79" t="n"/>
      <x:c r="C11" s="9" t="n"/>
      <x:c r="D11" s="21" t="n">
        <x:v>1</x:v>
      </x:c>
      <x:c r="E11" s="9" t="n"/>
      <x:c r="F11" s="11">
        <x:f>'QP5'!AA20</x:f>
      </x:c>
      <x:c r="G11" s="67" t="inlineStr">
        <x:is>
          <x:t xml:space="preserve">kW</x:t>
        </x:is>
      </x:c>
      <x:c r="H11" s="11">
        <x:f>'QP5'!AA22</x:f>
      </x:c>
      <x:c r="I11" s="67" t="inlineStr">
        <x:is>
          <x:t xml:space="preserve">kW</x:t>
        </x:is>
      </x:c>
      <x:c r="J11" s="8">
        <x:f>'QP5'!AA24</x:f>
      </x:c>
      <x:c r="K11" s="9" t="inlineStr">
        <x:is>
          <x:t xml:space="preserve">kVar</x:t>
        </x:is>
      </x:c>
      <x:c r="L11" s="15" t="n"/>
      <x:c r="M11" s="42" t="inlineStr">
        <x:is>
          <x:t xml:space="preserve">Puissance Apparente</x:t>
        </x:is>
      </x:c>
      <x:c r="N11" s="86">
        <x:f>SUM(J7:J13)</x:f>
      </x:c>
      <x:c r="O11" s="87" t="inlineStr">
        <x:is>
          <x:t xml:space="preserve">kVA</x:t>
        </x:is>
      </x:c>
    </x:row>
    <x:row r="12">
      <x:c r="A12" s="33" t="inlineStr">
        <x:is>
          <x:t xml:space="preserve">QP6</x:t>
        </x:is>
      </x:c>
      <x:c r="B12" s="79" t="n"/>
      <x:c r="C12" s="9" t="n"/>
      <x:c r="D12" s="21" t="n">
        <x:v>1</x:v>
      </x:c>
      <x:c r="E12" s="9" t="n"/>
      <x:c r="F12" s="11">
        <x:f>'QP6'!AA20</x:f>
      </x:c>
      <x:c r="G12" s="67" t="inlineStr">
        <x:is>
          <x:t xml:space="preserve">kW</x:t>
        </x:is>
      </x:c>
      <x:c r="H12" s="11">
        <x:f>'QP6'!AA22</x:f>
      </x:c>
      <x:c r="I12" s="67" t="inlineStr">
        <x:is>
          <x:t xml:space="preserve">kW</x:t>
        </x:is>
      </x:c>
      <x:c r="J12" s="8">
        <x:f>'QP6'!AA24</x:f>
      </x:c>
      <x:c r="K12" s="9" t="inlineStr">
        <x:is>
          <x:t xml:space="preserve">kVar</x:t>
        </x:is>
      </x:c>
      <x:c r="L12" s="15" t="n"/>
      <x:c r="M12" s="88" t="n"/>
      <x:c r="N12" s="80" t="n"/>
      <x:c r="O12" s="82" t="n"/>
    </x:row>
    <x:row r="13">
      <x:c r="A13" s="33" t="inlineStr">
        <x:is>
          <x:t xml:space="preserve">QP7</x:t>
        </x:is>
      </x:c>
      <x:c r="B13" s="79" t="n"/>
      <x:c r="C13" s="9" t="n"/>
      <x:c r="D13" s="21" t="n">
        <x:v>1</x:v>
      </x:c>
      <x:c r="E13" s="9" t="n"/>
      <x:c r="F13" s="11">
        <x:f>'QP7'!AA20</x:f>
      </x:c>
      <x:c r="G13" s="67" t="inlineStr">
        <x:is>
          <x:t xml:space="preserve">kW</x:t>
        </x:is>
      </x:c>
      <x:c r="H13" s="11">
        <x:f>'QP7'!AA22</x:f>
      </x:c>
      <x:c r="I13" s="67" t="inlineStr">
        <x:is>
          <x:t xml:space="preserve">kW</x:t>
        </x:is>
      </x:c>
      <x:c r="J13" s="8">
        <x:f>'QP7'!AA24</x:f>
      </x:c>
      <x:c r="K13" s="9" t="inlineStr">
        <x:is>
          <x:t xml:space="preserve">kVar</x:t>
        </x:is>
      </x:c>
      <x:c r="L13" s="15" t="n"/>
      <x:c r="M13" s="1" t="n"/>
      <x:c r="N13" s="1" t="n"/>
      <x:c r="O13" s="17" t="n"/>
    </x:row>
    <x:row r="14">
      <x:c r="L14" s="15" t="n"/>
      <x:c r="M14" s="44" t="inlineStr">
        <x:is>
          <x:t xml:space="preserve">Puissance du QGBT</x:t>
        </x:is>
      </x:c>
      <x:c r="N14" s="79" t="n"/>
      <x:c r="O14" s="9" t="n"/>
    </x:row>
    <x:row r="15">
      <x:c r="L15" s="15" t="n"/>
      <x:c r="M15" s="42" t="inlineStr">
        <x:is>
          <x:t xml:space="preserve">Nombre de Circuits</x:t>
        </x:is>
      </x:c>
      <x:c r="N15" s="78" t="n"/>
      <x:c r="O15" s="43" t="n">
        <x:v>7</x:v>
      </x:c>
    </x:row>
    <x:row r="16">
      <x:c r="L16" s="15" t="n"/>
      <x:c r="M16" s="80" t="n"/>
      <x:c r="N16" s="82" t="n"/>
      <x:c r="O16" s="88" t="n"/>
    </x:row>
    <x:row r="17" s="13" customFormat="1" ht="15" customHeight="1">
      <x:c r="L17" s="15" t="n"/>
      <x:c r="M17" s="42" t="inlineStr">
        <x:is>
          <x:t xml:space="preserve">Facteur de Simultanéité du Tableau (Ks)</x:t>
        </x:is>
      </x:c>
      <x:c r="N17" s="78" t="n"/>
      <x:c r="O17" s="43">
        <x:f>IF(O15&gt;=10,0.6,IF(O15&gt;=6,0.7,IF(O15&lt;6,0.8)))</x:f>
      </x:c>
    </x:row>
    <x:row r="18">
      <x:c r="L18" s="15" t="n"/>
      <x:c r="M18" s="84" t="n"/>
      <x:c r="N18" s="85" t="n"/>
      <x:c r="O18" s="83" t="n"/>
    </x:row>
    <x:row r="19" s="13" customFormat="1" ht="15" customHeight="1">
      <x:c r="L19" s="15" t="n"/>
      <x:c r="M19" s="80" t="n"/>
      <x:c r="N19" s="82" t="n"/>
      <x:c r="O19" s="88" t="n"/>
    </x:row>
    <x:row r="20">
      <x:c r="L20" s="15" t="n"/>
      <x:c r="M20" s="41" t="inlineStr">
        <x:is>
          <x:t xml:space="preserve">P x Ks =</x:t>
        </x:is>
      </x:c>
      <x:c r="N20" s="86">
        <x:f>N7*O17</x:f>
      </x:c>
      <x:c r="O20" s="87" t="inlineStr">
        <x:is>
          <x:t xml:space="preserve">kW</x:t>
        </x:is>
      </x:c>
      <x:c r="P20" s="20">
        <x:f>N20</x:f>
      </x:c>
    </x:row>
    <x:row r="21" s="13" customFormat="1" ht="15" customHeight="1">
      <x:c r="L21" s="15" t="n"/>
      <x:c r="M21" s="88" t="n"/>
      <x:c r="N21" s="80" t="n"/>
      <x:c r="O21" s="82" t="n"/>
    </x:row>
    <x:row r="22">
      <x:c r="L22" s="15" t="n"/>
      <x:c r="M22" s="41" t="inlineStr">
        <x:is>
          <x:t xml:space="preserve">Q x Ks =</x:t>
        </x:is>
      </x:c>
      <x:c r="N22" s="86">
        <x:f>N9*O17</x:f>
      </x:c>
      <x:c r="O22" s="87" t="inlineStr">
        <x:is>
          <x:t xml:space="preserve">kVar</x:t>
        </x:is>
      </x:c>
      <x:c r="P22" s="20">
        <x:f>N22</x:f>
      </x:c>
    </x:row>
    <x:row r="23" s="13" customFormat="1" ht="15" customHeight="1">
      <x:c r="L23" s="15" t="n"/>
      <x:c r="M23" s="88" t="n"/>
      <x:c r="N23" s="80" t="n"/>
      <x:c r="O23" s="82" t="n"/>
    </x:row>
    <x:row r="24">
      <x:c r="L24" s="15" t="n"/>
      <x:c r="M24" s="41" t="inlineStr">
        <x:is>
          <x:t xml:space="preserve">S x Ks =</x:t>
        </x:is>
      </x:c>
      <x:c r="N24" s="86">
        <x:f>N11*O17</x:f>
      </x:c>
      <x:c r="O24" s="87" t="inlineStr">
        <x:is>
          <x:t xml:space="preserve">kVA</x:t>
        </x:is>
      </x:c>
      <x:c r="P24" s="20">
        <x:f>N24</x:f>
      </x:c>
    </x:row>
    <x:row r="25" s="13" customFormat="1" ht="15" customHeight="1">
      <x:c r="L25" s="16" t="n"/>
      <x:c r="M25" s="88" t="n"/>
      <x:c r="N25" s="80" t="n"/>
      <x:c r="O25" s="82" t="n"/>
    </x:row>
  </x:sheetData>
  <x:mergeCells>
    <x:mergeCell ref="M20:M21"/>
    <x:mergeCell ref="N22:N23"/>
    <x:mergeCell ref="D10:E10"/>
    <x:mergeCell ref="O24:O25"/>
    <x:mergeCell ref="M11:M12"/>
    <x:mergeCell ref="O20:O21"/>
    <x:mergeCell ref="A12:C12"/>
    <x:mergeCell ref="M7:M8"/>
    <x:mergeCell ref="O17:O19"/>
    <x:mergeCell ref="M22:M23"/>
    <x:mergeCell ref="D13:E13"/>
    <x:mergeCell ref="D11:E11"/>
    <x:mergeCell ref="A8:C8"/>
    <x:mergeCell ref="D5:E6"/>
    <x:mergeCell ref="M5:O6"/>
    <x:mergeCell ref="H5:I6"/>
    <x:mergeCell ref="O22:O23"/>
    <x:mergeCell ref="J5:K6"/>
    <x:mergeCell ref="M14:O14"/>
    <x:mergeCell ref="M24:M25"/>
    <x:mergeCell ref="A10:C10"/>
    <x:mergeCell ref="A13:C13"/>
    <x:mergeCell ref="D7:E7"/>
    <x:mergeCell ref="A1:O4"/>
    <x:mergeCell ref="N9:N10"/>
    <x:mergeCell ref="O11:O12"/>
    <x:mergeCell ref="A9:C9"/>
    <x:mergeCell ref="N24:N25"/>
    <x:mergeCell ref="O7:O8"/>
    <x:mergeCell ref="D9:E9"/>
    <x:mergeCell ref="D12:E12"/>
    <x:mergeCell ref="N11:N12"/>
    <x:mergeCell ref="D8:E8"/>
    <x:mergeCell ref="A11:C11"/>
    <x:mergeCell ref="M9:M10"/>
    <x:mergeCell ref="A5:C6"/>
    <x:mergeCell ref="O9:O10"/>
    <x:mergeCell ref="F5:G6"/>
    <x:mergeCell ref="N20:N21"/>
    <x:mergeCell ref="M15:N16"/>
    <x:mergeCell ref="M17:N19"/>
    <x:mergeCell ref="A7:C7"/>
    <x:mergeCell ref="N7:N8"/>
    <x:mergeCell ref="O15:O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theme="2" tint="-0.89999"/>
  </x:sheetPr>
  <x:sheetFormatPr baseColWidth="8" defaultRowHeight="15"/>
  <x:cols>
    <x:col min="6" max="6" width="10.140625" style="13" customWidth="1"/>
    <x:col min="12" max="12" width="3.28515625" style="13" customWidth="1"/>
    <x:col min="14" max="14" width="19.5703125" style="13" customWidth="1"/>
    <x:col min="23" max="23" width="10" style="13" customWidth="1"/>
    <x:col min="24" max="24" width="10.140625" style="13" customWidth="1"/>
  </x:cols>
  <x:sheetData>
    <x:row r="1" s="13" customFormat="1" ht="15" customHeight="1">
      <x:c r="A1" s="73" t="inlineStr">
        <x:is>
          <x:t xml:space="preserve">Tableau de Puissances - Tableau du Poste de Transformation</x:t>
        </x:is>
      </x:c>
      <x:c r="P1" s="19" t="n"/>
      <x:c r="Q1" s="19" t="n"/>
      <x:c r="R1" s="19" t="n"/>
      <x:c r="S1" s="19" t="n"/>
      <x:c r="T1" s="19" t="n"/>
      <x:c r="U1" s="19" t="n"/>
      <x:c r="V1" s="19" t="n"/>
      <x:c r="W1" s="19" t="n"/>
      <x:c r="X1" s="19" t="n"/>
      <x:c r="Y1" s="19" t="n"/>
      <x:c r="Z1" s="19" t="n"/>
    </x:row>
    <x:row r="2" s="13" customFormat="1" ht="15" customHeight="1">
      <x:c r="P2" s="19" t="n"/>
      <x:c r="Q2" s="19" t="n"/>
      <x:c r="R2" s="19" t="n"/>
      <x:c r="S2" s="19" t="n"/>
      <x:c r="T2" s="19" t="n"/>
      <x:c r="U2" s="19" t="n"/>
      <x:c r="V2" s="19" t="n"/>
      <x:c r="W2" s="19" t="n"/>
      <x:c r="X2" s="19" t="n"/>
      <x:c r="Y2" s="19" t="n"/>
      <x:c r="Z2" s="19" t="n"/>
    </x:row>
    <x:row r="3" s="13" customFormat="1" ht="15" customHeight="1">
      <x:c r="P3" s="19" t="n"/>
      <x:c r="Q3" s="19" t="n"/>
      <x:c r="R3" s="19" t="n"/>
      <x:c r="S3" s="19" t="n"/>
      <x:c r="T3" s="19" t="n"/>
      <x:c r="U3" s="19" t="n"/>
      <x:c r="V3" s="19" t="n"/>
      <x:c r="W3" s="19" t="n"/>
      <x:c r="X3" s="19" t="n"/>
      <x:c r="Y3" s="19" t="n"/>
      <x:c r="Z3" s="19" t="n"/>
    </x:row>
    <x:row r="4" s="13" customFormat="1" ht="63" customHeight="1">
      <x:c r="A4" s="81" t="n"/>
      <x:c r="B4" s="81" t="n"/>
      <x:c r="C4" s="81" t="n"/>
      <x:c r="D4" s="81" t="n"/>
      <x:c r="E4" s="81" t="n"/>
      <x:c r="F4" s="81" t="n"/>
      <x:c r="G4" s="81" t="n"/>
      <x:c r="H4" s="81" t="n"/>
      <x:c r="I4" s="81" t="n"/>
      <x:c r="J4" s="81" t="n"/>
      <x:c r="K4" s="81" t="n"/>
      <x:c r="L4" s="81" t="n"/>
      <x:c r="M4" s="81" t="n"/>
      <x:c r="N4" s="81" t="n"/>
      <x:c r="O4" s="81" t="n"/>
      <x:c r="P4" s="19" t="n"/>
      <x:c r="Q4" s="19" t="n"/>
      <x:c r="R4" s="19" t="n"/>
      <x:c r="S4" s="19" t="n"/>
      <x:c r="T4" s="19" t="n"/>
      <x:c r="U4" s="19" t="n"/>
      <x:c r="V4" s="19" t="n"/>
      <x:c r="W4" s="19" t="n"/>
      <x:c r="X4" s="19" t="n"/>
      <x:c r="Y4" s="19" t="n"/>
      <x:c r="Z4" s="19" t="n"/>
    </x:row>
    <x:row r="5" s="13" customFormat="1" ht="15" customHeight="1">
      <x:c r="A5" s="46" t="inlineStr">
        <x:is>
          <x:t xml:space="preserve">Équipement</x:t>
        </x:is>
      </x:c>
      <x:c r="B5" s="77" t="n"/>
      <x:c r="C5" s="78" t="n"/>
      <x:c r="D5" s="46" t="inlineStr">
        <x:is>
          <x:t xml:space="preserve">Quantité</x:t>
        </x:is>
      </x:c>
      <x:c r="E5" s="78" t="n"/>
      <x:c r="F5" s="48" t="inlineStr">
        <x:is>
          <x:t xml:space="preserve">Puissance Active</x:t>
        </x:is>
      </x:c>
      <x:c r="G5" s="78" t="n"/>
      <x:c r="H5" s="48" t="inlineStr">
        <x:is>
          <x:t xml:space="preserve">Puissance Réactive</x:t>
        </x:is>
      </x:c>
      <x:c r="I5" s="78" t="n"/>
      <x:c r="J5" s="48" t="inlineStr">
        <x:is>
          <x:t xml:space="preserve">Puissance Apparente</x:t>
        </x:is>
      </x:c>
      <x:c r="K5" s="78" t="n"/>
      <x:c r="L5" s="7" t="n"/>
      <x:c r="M5" s="46" t="inlineStr">
        <x:is>
          <x:t xml:space="preserve">Puissance à Pleine Charge</x:t>
        </x:is>
      </x:c>
      <x:c r="N5" s="77" t="n"/>
      <x:c r="O5" s="78" t="n"/>
    </x:row>
    <x:row r="6" s="13" customFormat="1" ht="94.5" customHeight="1">
      <x:c r="A6" s="80" t="n"/>
      <x:c r="B6" s="81" t="n"/>
      <x:c r="C6" s="82" t="n"/>
      <x:c r="D6" s="80" t="n"/>
      <x:c r="E6" s="82" t="n"/>
      <x:c r="F6" s="80" t="n"/>
      <x:c r="G6" s="82" t="n"/>
      <x:c r="H6" s="80" t="n"/>
      <x:c r="I6" s="82" t="n"/>
      <x:c r="J6" s="80" t="n"/>
      <x:c r="K6" s="82" t="n"/>
      <x:c r="L6" s="14" t="n"/>
      <x:c r="M6" s="80" t="n"/>
      <x:c r="N6" s="81" t="n"/>
      <x:c r="O6" s="82" t="n"/>
    </x:row>
    <x:row r="7">
      <x:c r="A7" s="33" t="inlineStr">
        <x:is>
          <x:t xml:space="preserve">QGBT</x:t>
        </x:is>
      </x:c>
      <x:c r="B7" s="79" t="n"/>
      <x:c r="C7" s="9" t="n"/>
      <x:c r="D7" s="21" t="n">
        <x:v>1</x:v>
      </x:c>
      <x:c r="E7" s="9" t="n"/>
      <x:c r="F7" s="11">
        <x:f>QGBT!P20</x:f>
      </x:c>
      <x:c r="G7" s="67" t="inlineStr">
        <x:is>
          <x:t xml:space="preserve">kW</x:t>
        </x:is>
      </x:c>
      <x:c r="H7" s="11">
        <x:f>QGBT!P22</x:f>
      </x:c>
      <x:c r="I7" s="67" t="inlineStr">
        <x:is>
          <x:t xml:space="preserve">kW</x:t>
        </x:is>
      </x:c>
      <x:c r="J7" s="8">
        <x:f>QGBT!P24</x:f>
      </x:c>
      <x:c r="K7" s="9" t="inlineStr">
        <x:is>
          <x:t xml:space="preserve">kVar</x:t>
        </x:is>
      </x:c>
      <x:c r="L7" s="15" t="n"/>
      <x:c r="M7" s="42" t="inlineStr">
        <x:is>
          <x:t xml:space="preserve">Puissance Active</x:t>
        </x:is>
      </x:c>
      <x:c r="N7" s="86">
        <x:f>SUM(F7:F8)</x:f>
      </x:c>
      <x:c r="O7" s="87" t="inlineStr">
        <x:is>
          <x:t xml:space="preserve">kW</x:t>
        </x:is>
      </x:c>
    </x:row>
    <x:row r="8">
      <x:c r="A8" s="33" t="inlineStr">
        <x:is>
          <x:t xml:space="preserve">QGM</x:t>
        </x:is>
      </x:c>
      <x:c r="B8" s="79" t="n"/>
      <x:c r="C8" s="9" t="n"/>
      <x:c r="D8" s="21" t="n">
        <x:v>1</x:v>
      </x:c>
      <x:c r="E8" s="9" t="n"/>
      <x:c r="F8" s="11">
        <x:f>QGM!AA20</x:f>
      </x:c>
      <x:c r="G8" s="67" t="inlineStr">
        <x:is>
          <x:t xml:space="preserve">kW</x:t>
        </x:is>
      </x:c>
      <x:c r="H8" s="11">
        <x:f>QGM!AA22</x:f>
      </x:c>
      <x:c r="I8" s="67" t="inlineStr">
        <x:is>
          <x:t xml:space="preserve">kW</x:t>
        </x:is>
      </x:c>
      <x:c r="J8" s="8">
        <x:f>QGM!AA24</x:f>
      </x:c>
      <x:c r="K8" s="9" t="inlineStr">
        <x:is>
          <x:t xml:space="preserve">kVar</x:t>
        </x:is>
      </x:c>
      <x:c r="L8" s="15" t="n"/>
      <x:c r="M8" s="88" t="n"/>
      <x:c r="N8" s="80" t="n"/>
      <x:c r="O8" s="82" t="n"/>
    </x:row>
    <x:row r="9">
      <x:c r="L9" s="15" t="n"/>
      <x:c r="M9" s="42" t="inlineStr">
        <x:is>
          <x:t xml:space="preserve">Puissance Réactive</x:t>
        </x:is>
      </x:c>
      <x:c r="N9" s="86">
        <x:f>SUM(H7:H8)</x:f>
      </x:c>
      <x:c r="O9" s="87" t="inlineStr">
        <x:is>
          <x:t xml:space="preserve">kVar</x:t>
        </x:is>
      </x:c>
    </x:row>
    <x:row r="10">
      <x:c r="L10" s="15" t="n"/>
      <x:c r="M10" s="88" t="n"/>
      <x:c r="N10" s="80" t="n"/>
      <x:c r="O10" s="82" t="n"/>
    </x:row>
    <x:row r="11">
      <x:c r="L11" s="15" t="n"/>
      <x:c r="M11" s="42" t="inlineStr">
        <x:is>
          <x:t xml:space="preserve">Puissance Apparente</x:t>
        </x:is>
      </x:c>
      <x:c r="N11" s="86">
        <x:f>SUM(J7:J8)</x:f>
      </x:c>
      <x:c r="O11" s="87" t="inlineStr">
        <x:is>
          <x:t xml:space="preserve">kVA</x:t>
        </x:is>
      </x:c>
    </x:row>
    <x:row r="12">
      <x:c r="L12" s="15" t="n"/>
      <x:c r="M12" s="88" t="n"/>
      <x:c r="N12" s="80" t="n"/>
      <x:c r="O12" s="82" t="n"/>
    </x:row>
    <x:row r="13">
      <x:c r="L13" s="15" t="n"/>
      <x:c r="M13" s="1" t="n"/>
      <x:c r="N13" s="1" t="n"/>
      <x:c r="O13" s="17" t="n"/>
    </x:row>
    <x:row r="14">
      <x:c r="L14" s="15" t="n"/>
      <x:c r="M14" s="44" t="inlineStr">
        <x:is>
          <x:t xml:space="preserve">Puissance du QPT</x:t>
        </x:is>
      </x:c>
      <x:c r="N14" s="79" t="n"/>
      <x:c r="O14" s="9" t="n"/>
    </x:row>
    <x:row r="15">
      <x:c r="L15" s="15" t="n"/>
      <x:c r="M15" s="42" t="inlineStr">
        <x:is>
          <x:t xml:space="preserve">Nombre de Circuits</x:t>
        </x:is>
      </x:c>
      <x:c r="N15" s="78" t="n"/>
      <x:c r="O15" s="43" t="n">
        <x:v>2</x:v>
      </x:c>
    </x:row>
    <x:row r="16">
      <x:c r="L16" s="15" t="n"/>
      <x:c r="M16" s="80" t="n"/>
      <x:c r="N16" s="82" t="n"/>
      <x:c r="O16" s="88" t="n"/>
    </x:row>
    <x:row r="17" s="13" customFormat="1" ht="15" customHeight="1">
      <x:c r="L17" s="15" t="n"/>
      <x:c r="M17" s="42" t="inlineStr">
        <x:is>
          <x:t xml:space="preserve">Facteur de Simultanéité du Tableau (Ks)</x:t>
        </x:is>
      </x:c>
      <x:c r="N17" s="78" t="n"/>
      <x:c r="O17" s="43" t="n">
        <x:v>0.9</x:v>
      </x:c>
    </x:row>
    <x:row r="18">
      <x:c r="L18" s="15" t="n"/>
      <x:c r="M18" s="84" t="n"/>
      <x:c r="N18" s="85" t="n"/>
      <x:c r="O18" s="83" t="n"/>
    </x:row>
    <x:row r="19" s="13" customFormat="1" ht="15" customHeight="1">
      <x:c r="L19" s="15" t="n"/>
      <x:c r="M19" s="80" t="n"/>
      <x:c r="N19" s="82" t="n"/>
      <x:c r="O19" s="88" t="n"/>
    </x:row>
    <x:row r="20">
      <x:c r="L20" s="15" t="n"/>
      <x:c r="M20" s="41" t="inlineStr">
        <x:is>
          <x:t xml:space="preserve">P x Ks =</x:t>
        </x:is>
      </x:c>
      <x:c r="N20" s="86">
        <x:f>N7*O17</x:f>
      </x:c>
      <x:c r="O20" s="87" t="inlineStr">
        <x:is>
          <x:t xml:space="preserve">kW</x:t>
        </x:is>
      </x:c>
    </x:row>
    <x:row r="21" s="13" customFormat="1" ht="15" customHeight="1">
      <x:c r="L21" s="15" t="n"/>
      <x:c r="M21" s="88" t="n"/>
      <x:c r="N21" s="80" t="n"/>
      <x:c r="O21" s="82" t="n"/>
    </x:row>
    <x:row r="22">
      <x:c r="L22" s="15" t="n"/>
      <x:c r="M22" s="41" t="inlineStr">
        <x:is>
          <x:t xml:space="preserve">Q x Ks =</x:t>
        </x:is>
      </x:c>
      <x:c r="N22" s="86">
        <x:f>N9*O17</x:f>
      </x:c>
      <x:c r="O22" s="87" t="inlineStr">
        <x:is>
          <x:t xml:space="preserve">kVar</x:t>
        </x:is>
      </x:c>
    </x:row>
    <x:row r="23" s="13" customFormat="1" ht="15" customHeight="1">
      <x:c r="L23" s="15" t="n"/>
      <x:c r="M23" s="88" t="n"/>
      <x:c r="N23" s="80" t="n"/>
      <x:c r="O23" s="82" t="n"/>
    </x:row>
    <x:row r="24">
      <x:c r="L24" s="15" t="n"/>
      <x:c r="M24" s="41" t="inlineStr">
        <x:is>
          <x:t xml:space="preserve">S x Ks =</x:t>
        </x:is>
      </x:c>
      <x:c r="N24" s="86">
        <x:f>N11*O17</x:f>
      </x:c>
      <x:c r="O24" s="87" t="inlineStr">
        <x:is>
          <x:t xml:space="preserve">kVA</x:t>
        </x:is>
      </x:c>
    </x:row>
    <x:row r="25" s="13" customFormat="1" ht="15" customHeight="1">
      <x:c r="L25" s="16" t="n"/>
      <x:c r="M25" s="88" t="n"/>
      <x:c r="N25" s="80" t="n"/>
      <x:c r="O25" s="82" t="n"/>
    </x:row>
  </x:sheetData>
  <x:mergeCells>
    <x:mergeCell ref="M20:M21"/>
    <x:mergeCell ref="N22:N23"/>
    <x:mergeCell ref="O24:O25"/>
    <x:mergeCell ref="M11:M12"/>
    <x:mergeCell ref="O20:O21"/>
    <x:mergeCell ref="M7:M8"/>
    <x:mergeCell ref="O17:O19"/>
    <x:mergeCell ref="M22:M23"/>
    <x:mergeCell ref="A8:C8"/>
    <x:mergeCell ref="D5:E6"/>
    <x:mergeCell ref="M5:O6"/>
    <x:mergeCell ref="H5:I6"/>
    <x:mergeCell ref="O22:O23"/>
    <x:mergeCell ref="J5:K6"/>
    <x:mergeCell ref="M14:O14"/>
    <x:mergeCell ref="M24:M25"/>
    <x:mergeCell ref="D7:E7"/>
    <x:mergeCell ref="A1:O4"/>
    <x:mergeCell ref="N9:N10"/>
    <x:mergeCell ref="O11:O12"/>
    <x:mergeCell ref="N24:N25"/>
    <x:mergeCell ref="O7:O8"/>
    <x:mergeCell ref="N11:N12"/>
    <x:mergeCell ref="D8:E8"/>
    <x:mergeCell ref="M9:M10"/>
    <x:mergeCell ref="A5:C6"/>
    <x:mergeCell ref="O9:O10"/>
    <x:mergeCell ref="F5:G6"/>
    <x:mergeCell ref="N20:N21"/>
    <x:mergeCell ref="M15:N16"/>
    <x:mergeCell ref="M17:N19"/>
    <x:mergeCell ref="A7:C7"/>
    <x:mergeCell ref="N7:N8"/>
    <x:mergeCell ref="O15:O16"/>
  </x:mergeCells>
  <x:pageMargins left="0.7" right="0.7" top="0.75" bottom="0.75" header="0.3" footer="0.3"/>
</x:worksheet>
</file>